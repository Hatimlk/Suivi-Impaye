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 tabRatio="500" firstSheet="1" activeTab="6"/>
  </bookViews>
  <sheets>
    <sheet name="IMPAYES 2020-2021-2022 (2)" sheetId="10" state="hidden" r:id="rId1"/>
    <sheet name="IMPAYES 2020-2021-2022" sheetId="9" r:id="rId2"/>
    <sheet name="Feuil4" sheetId="14" state="hidden" r:id="rId3"/>
    <sheet name="Feuil3" sheetId="13" state="hidden" r:id="rId4"/>
    <sheet name="Feuil2" sheetId="12" state="hidden" r:id="rId5"/>
    <sheet name="Total Impayés" sheetId="6" r:id="rId6"/>
    <sheet name="NABIL" sheetId="2" r:id="rId7"/>
    <sheet name="OMAR" sheetId="1" r:id="rId8"/>
    <sheet name="DIRECTION" sheetId="3" r:id="rId9"/>
    <sheet name="FAYCAL" sheetId="4" r:id="rId10"/>
    <sheet name="NAOUFAL" sheetId="7" r:id="rId11"/>
    <sheet name="FAHD" sheetId="8" r:id="rId12"/>
    <sheet name="GII" sheetId="5" r:id="rId13"/>
    <sheet name="LAHCEN" sheetId="11" r:id="rId14"/>
    <sheet name="RACHID" sheetId="15" r:id="rId15"/>
    <sheet name="OUSSAMA" sheetId="16" r:id="rId16"/>
  </sheets>
  <definedNames>
    <definedName name="_xlnm._FilterDatabase" localSheetId="6" hidden="1">NABIL!$A$5:$I$260</definedName>
    <definedName name="_xlnm._FilterDatabase" localSheetId="7" hidden="1">OMAR!$A$4:$I$61</definedName>
    <definedName name="_xlnm._FilterDatabase" localSheetId="8" hidden="1">DIRECTION!$A$5:$I$7</definedName>
    <definedName name="_xlnm._FilterDatabase" localSheetId="9" hidden="1">FAYCAL!$A$6:$I$43</definedName>
    <definedName name="_xlnm._FilterDatabase" localSheetId="12" hidden="1">GII!$A$6:$I$76</definedName>
    <definedName name="_xlnm.Print_Area" localSheetId="9">FAYCAL!#REF!</definedName>
    <definedName name="_xlnm.Print_Area" localSheetId="6">NABIL!#REF!</definedName>
    <definedName name="_xlnm.Print_Area" localSheetId="7">OMAR!#REF!</definedName>
    <definedName name="_xlnm.Print_Area" localSheetId="5">'Total Impayés'!$B$4:$G$24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<sst xmlns="http://schemas.openxmlformats.org/spreadsheetml/2006/main" count="3272" uniqueCount="1026">
  <si>
    <t xml:space="preserve">TOTAL IMPAYES </t>
  </si>
  <si>
    <t>AU 02/05/2025</t>
  </si>
  <si>
    <t>AU 15/05/2025</t>
  </si>
  <si>
    <t>AU 22/05/2025</t>
  </si>
  <si>
    <t>AU 29/05/2025</t>
  </si>
  <si>
    <t>AU 12/06/2025</t>
  </si>
  <si>
    <t>AU 19/06/2025</t>
  </si>
  <si>
    <t>AU 04/07/2025</t>
  </si>
  <si>
    <t>AU 10/07/2025</t>
  </si>
  <si>
    <t>AU 18/07/2025</t>
  </si>
  <si>
    <t>AU 25/07/2025</t>
  </si>
  <si>
    <t>AU 11/08/2025</t>
  </si>
  <si>
    <t>AU 22/08/2025</t>
  </si>
  <si>
    <t>AU 19/9/2025</t>
  </si>
  <si>
    <t>AU 25/09/2025</t>
  </si>
  <si>
    <t>AU  03/10/2025</t>
  </si>
  <si>
    <t>AU 10/10/2025</t>
  </si>
  <si>
    <t>AU 17/10/2025</t>
  </si>
  <si>
    <t>AU 22/10/2025</t>
  </si>
  <si>
    <t>AU 31/10/2025</t>
  </si>
  <si>
    <t>AU 07/11/2025</t>
  </si>
  <si>
    <t>AU 14/11/2025</t>
  </si>
  <si>
    <t>AU 21/11/2025</t>
  </si>
  <si>
    <t>AU 28/11/2025</t>
  </si>
  <si>
    <t>AU 05/12/2025</t>
  </si>
  <si>
    <t>AU 12/12/2025</t>
  </si>
  <si>
    <t>AU 19/12/2025</t>
  </si>
  <si>
    <t>AU 26/12/2025</t>
  </si>
  <si>
    <t>AU 08/01/2026</t>
  </si>
  <si>
    <t>AU 20/01/26</t>
  </si>
  <si>
    <t>AU 29/01/26</t>
  </si>
  <si>
    <t>AU 13/02/2026</t>
  </si>
  <si>
    <t>AU 27/02/26</t>
  </si>
  <si>
    <t>AU 06/03/2026</t>
  </si>
  <si>
    <t>AU 13/03/2026</t>
  </si>
  <si>
    <t>AU 02/4/2026</t>
  </si>
  <si>
    <t>AU 13/04/2026</t>
  </si>
  <si>
    <t>AU 24/04/2026</t>
  </si>
  <si>
    <t>AU 08/05/2026</t>
  </si>
  <si>
    <t>AU 15/05/2026</t>
  </si>
  <si>
    <t>AU 04/06/2026</t>
  </si>
  <si>
    <t>AU 12/06/2026</t>
  </si>
  <si>
    <t>AU 19/06/2026</t>
  </si>
  <si>
    <t>AU 26/06/26</t>
  </si>
  <si>
    <t>AU 03/07/26</t>
  </si>
  <si>
    <t>AU 10/07/2026</t>
  </si>
  <si>
    <t>AU 17/07/2026</t>
  </si>
  <si>
    <t>AU 24/07/2026</t>
  </si>
  <si>
    <t>AU 31/07/2026</t>
  </si>
  <si>
    <t xml:space="preserve"> IMPAYES NABIL</t>
  </si>
  <si>
    <t xml:space="preserve"> IMPAYES OMAR</t>
  </si>
  <si>
    <t xml:space="preserve"> IMPAYES DIRECTION</t>
  </si>
  <si>
    <t>IMPAYES FAYCAL</t>
  </si>
  <si>
    <t xml:space="preserve"> IMPAYES NAOUFAL</t>
  </si>
  <si>
    <t xml:space="preserve"> IMPAYES FAHD</t>
  </si>
  <si>
    <t xml:space="preserve"> IMPAYES GII</t>
  </si>
  <si>
    <t>IMPAYES LAHCEN</t>
  </si>
  <si>
    <t>IMPAYES RACHID</t>
  </si>
  <si>
    <t>IMPAYES OUSSAMA</t>
  </si>
  <si>
    <t>AU 18/07/25</t>
  </si>
  <si>
    <t>AU 19/09/2025</t>
  </si>
  <si>
    <t>AU 03/10/2025</t>
  </si>
  <si>
    <t>AU 29/1/2026</t>
  </si>
  <si>
    <t>AU 02/04/2026</t>
  </si>
  <si>
    <t>AU 04/06/26</t>
  </si>
  <si>
    <t>AU 26/06/2026</t>
  </si>
  <si>
    <t>AU 03/07/2026</t>
  </si>
  <si>
    <t>TOTAL DES IMPAYES AU 31/07/2026</t>
  </si>
  <si>
    <t>IMPAYES AU 24/07/2026</t>
  </si>
  <si>
    <t>VARIATION</t>
  </si>
  <si>
    <r>
      <rPr>
        <b/>
        <sz val="12"/>
        <color theme="1"/>
        <rFont val="Calibri"/>
        <charset val="238"/>
        <scheme val="minor"/>
      </rPr>
      <t xml:space="preserve">TOTAL DES IMPAYES </t>
    </r>
    <r>
      <rPr>
        <b/>
        <sz val="12"/>
        <color rgb="FFFF0000"/>
        <rFont val="Calibri"/>
        <charset val="134"/>
        <scheme val="minor"/>
      </rPr>
      <t>NABIL</t>
    </r>
  </si>
  <si>
    <r>
      <rPr>
        <b/>
        <sz val="12"/>
        <color theme="1"/>
        <rFont val="Calibri"/>
        <charset val="134"/>
      </rPr>
      <t xml:space="preserve">TOTAL IMPAYES </t>
    </r>
    <r>
      <rPr>
        <b/>
        <sz val="12"/>
        <color rgb="FFFF0000"/>
        <rFont val="Calibri"/>
        <charset val="134"/>
      </rPr>
      <t>OMAR</t>
    </r>
  </si>
  <si>
    <r>
      <rPr>
        <b/>
        <sz val="12"/>
        <color theme="1"/>
        <rFont val="Calibri"/>
        <charset val="134"/>
      </rPr>
      <t>TOTAL IMPAYES</t>
    </r>
    <r>
      <rPr>
        <b/>
        <sz val="12"/>
        <color rgb="FFFF0000"/>
        <rFont val="Calibri"/>
        <charset val="134"/>
      </rPr>
      <t xml:space="preserve"> DIRECTION</t>
    </r>
  </si>
  <si>
    <r>
      <rPr>
        <b/>
        <sz val="12"/>
        <color theme="1"/>
        <rFont val="Calibri"/>
        <charset val="134"/>
      </rPr>
      <t>TOTAL IMPAYES</t>
    </r>
    <r>
      <rPr>
        <b/>
        <sz val="12"/>
        <color rgb="FFFF0000"/>
        <rFont val="Calibri"/>
        <charset val="134"/>
      </rPr>
      <t xml:space="preserve"> FAYCAL</t>
    </r>
  </si>
  <si>
    <r>
      <rPr>
        <b/>
        <sz val="12"/>
        <color theme="1"/>
        <rFont val="Calibri"/>
        <charset val="134"/>
      </rPr>
      <t xml:space="preserve">TOTAL IMPAYES </t>
    </r>
    <r>
      <rPr>
        <b/>
        <sz val="12"/>
        <color rgb="FFFF0000"/>
        <rFont val="Calibri"/>
        <charset val="134"/>
      </rPr>
      <t>NAOUFAL</t>
    </r>
  </si>
  <si>
    <r>
      <rPr>
        <b/>
        <sz val="12"/>
        <color theme="1"/>
        <rFont val="Calibri"/>
        <charset val="134"/>
      </rPr>
      <t xml:space="preserve">TOTAL IMPAYES </t>
    </r>
    <r>
      <rPr>
        <b/>
        <sz val="12"/>
        <color rgb="FFFF0000"/>
        <rFont val="Calibri"/>
        <charset val="134"/>
      </rPr>
      <t>FAHD</t>
    </r>
  </si>
  <si>
    <r>
      <rPr>
        <b/>
        <sz val="12"/>
        <color theme="1"/>
        <rFont val="Calibri"/>
        <charset val="134"/>
      </rPr>
      <t>TOTAL IMPAYES</t>
    </r>
    <r>
      <rPr>
        <b/>
        <sz val="12"/>
        <color rgb="FFFF0000"/>
        <rFont val="Calibri"/>
        <charset val="134"/>
      </rPr>
      <t xml:space="preserve"> GII</t>
    </r>
  </si>
  <si>
    <r>
      <rPr>
        <b/>
        <sz val="12"/>
        <color theme="1"/>
        <rFont val="Calibri"/>
        <charset val="134"/>
      </rPr>
      <t>TOTAL IMPAYES</t>
    </r>
    <r>
      <rPr>
        <b/>
        <sz val="12"/>
        <color rgb="FFFF0000"/>
        <rFont val="Calibri"/>
        <charset val="134"/>
      </rPr>
      <t xml:space="preserve"> LAHCEN</t>
    </r>
  </si>
  <si>
    <r>
      <rPr>
        <b/>
        <sz val="12"/>
        <color theme="1"/>
        <rFont val="Calibri"/>
        <charset val="134"/>
        <scheme val="minor"/>
      </rPr>
      <t>TOTAL IMPAYES</t>
    </r>
    <r>
      <rPr>
        <b/>
        <sz val="12"/>
        <color rgb="FFFF0000"/>
        <rFont val="Calibri"/>
        <charset val="134"/>
        <scheme val="minor"/>
      </rPr>
      <t xml:space="preserve"> RACHID</t>
    </r>
  </si>
  <si>
    <r>
      <rPr>
        <b/>
        <sz val="12"/>
        <rFont val="Calibri"/>
        <charset val="134"/>
        <scheme val="minor"/>
      </rPr>
      <t xml:space="preserve">TOTAL IMPAYES </t>
    </r>
    <r>
      <rPr>
        <b/>
        <sz val="12"/>
        <color rgb="FFFF0000"/>
        <rFont val="Calibri"/>
        <charset val="134"/>
        <scheme val="minor"/>
      </rPr>
      <t>OUSSAMA</t>
    </r>
  </si>
  <si>
    <t>TOTAL GENERAL AU  31/07/2026</t>
  </si>
  <si>
    <t>TOTAL GENERAL IMPAYES AU 24/07/2026</t>
  </si>
  <si>
    <t>TOTAL GENERAL IMPAYES AU 17/07/2026</t>
  </si>
  <si>
    <t>TOTAL GENERAL IMPAYES AU 10/07/2025</t>
  </si>
  <si>
    <t>LISTE DES IMPAYES NABIL  AU 31/07/2026</t>
  </si>
  <si>
    <t>NOM CLIENT</t>
  </si>
  <si>
    <t>COM</t>
  </si>
  <si>
    <t>Dte Facture</t>
  </si>
  <si>
    <t>M</t>
  </si>
  <si>
    <t>Bqe</t>
  </si>
  <si>
    <t>N°</t>
  </si>
  <si>
    <t>Échéance</t>
  </si>
  <si>
    <t>Montant</t>
  </si>
  <si>
    <t>Commentaire</t>
  </si>
  <si>
    <t>DHIBA CONSTRUCTION</t>
  </si>
  <si>
    <t>NABIL</t>
  </si>
  <si>
    <t>T</t>
  </si>
  <si>
    <t>SG</t>
  </si>
  <si>
    <t>PI</t>
  </si>
  <si>
    <t xml:space="preserve">PI </t>
  </si>
  <si>
    <t>PI : Dossier remis à M.BOUYA</t>
  </si>
  <si>
    <t>DHIBA CONSTRUCTION: TOTAL</t>
  </si>
  <si>
    <t>ADAROUASSIF OMAR</t>
  </si>
  <si>
    <t>AWB</t>
  </si>
  <si>
    <t>ADAROUASSIF OMAR : TANTAN</t>
  </si>
  <si>
    <t>ADAROUASSIF LAHCEN</t>
  </si>
  <si>
    <t>BMCE</t>
  </si>
  <si>
    <t>0292</t>
  </si>
  <si>
    <t>0293</t>
  </si>
  <si>
    <t>0291</t>
  </si>
  <si>
    <t>ADAROUASSIF LAHCEN:TANTAN</t>
  </si>
  <si>
    <t>0295</t>
  </si>
  <si>
    <t>ADAROUASSIF LAHCEN: TOTAL</t>
  </si>
  <si>
    <t>OUDRA</t>
  </si>
  <si>
    <t>C</t>
  </si>
  <si>
    <t>BP</t>
  </si>
  <si>
    <t>7080</t>
  </si>
  <si>
    <t>PI : Montant Initial 270 432,26</t>
  </si>
  <si>
    <t>AHENDOUCH : STE DRAA</t>
  </si>
  <si>
    <t>CDM</t>
  </si>
  <si>
    <t>1680</t>
  </si>
  <si>
    <t>PI : Montant Initial  184 273</t>
  </si>
  <si>
    <t xml:space="preserve"> DAOUDI RACHID</t>
  </si>
  <si>
    <t>2143</t>
  </si>
  <si>
    <t>PI : Montant Initial  163 134,51</t>
  </si>
  <si>
    <t>DAOUDI RACHID</t>
  </si>
  <si>
    <t>6669</t>
  </si>
  <si>
    <t>6670</t>
  </si>
  <si>
    <t>6671</t>
  </si>
  <si>
    <t>DAOUDI RACHID : TOTAL</t>
  </si>
  <si>
    <t>AMEJOUD</t>
  </si>
  <si>
    <t>1080</t>
  </si>
  <si>
    <t>PI : Montant Initial  10 818</t>
  </si>
  <si>
    <t>1079</t>
  </si>
  <si>
    <t>1078</t>
  </si>
  <si>
    <t>1076</t>
  </si>
  <si>
    <t>1077</t>
  </si>
  <si>
    <t>1074</t>
  </si>
  <si>
    <t>1075</t>
  </si>
  <si>
    <t>1073</t>
  </si>
  <si>
    <t>1072</t>
  </si>
  <si>
    <t>AMEJOUD : TOTAL</t>
  </si>
  <si>
    <t>LIBARI DOUNYA</t>
  </si>
  <si>
    <t>7839</t>
  </si>
  <si>
    <t>PI : 10 695,95</t>
  </si>
  <si>
    <t>5676</t>
  </si>
  <si>
    <t>PI : 20 000</t>
  </si>
  <si>
    <t>5677</t>
  </si>
  <si>
    <t>7837</t>
  </si>
  <si>
    <t>5678</t>
  </si>
  <si>
    <t>7836</t>
  </si>
  <si>
    <t>LIBARI DOUNYA : SAFI</t>
  </si>
  <si>
    <t>5679</t>
  </si>
  <si>
    <t>P I</t>
  </si>
  <si>
    <t>LIBARI DOUNYA : CHÈQ du 02/07</t>
  </si>
  <si>
    <t>4899</t>
  </si>
  <si>
    <t>PI :  remis à l'avocat</t>
  </si>
  <si>
    <t>4892</t>
  </si>
  <si>
    <t>LIBARI DOUNYA : TOTAL</t>
  </si>
  <si>
    <t>EL MOKHTAR ZAIKOU</t>
  </si>
  <si>
    <t>6004</t>
  </si>
  <si>
    <t>9385</t>
  </si>
  <si>
    <t>EL MOKHTAR ZAIKOU : TOTAL</t>
  </si>
  <si>
    <t>EL GUELOUILARBI</t>
  </si>
  <si>
    <t>3571</t>
  </si>
  <si>
    <t>PI : Montant Initial  14 400</t>
  </si>
  <si>
    <t>REEL WOOD : ADERDOUR ISMAIL</t>
  </si>
  <si>
    <t>aout-spt13</t>
  </si>
  <si>
    <t>9379</t>
  </si>
  <si>
    <t>PI : Montant Initial  60 000: BOUYA</t>
  </si>
  <si>
    <t>STE TIKIRT : OUTABOUNT</t>
  </si>
  <si>
    <t>6618</t>
  </si>
  <si>
    <t>OPPOSITION AU PAIEMENT:30 000</t>
  </si>
  <si>
    <t>6619</t>
  </si>
  <si>
    <t>OPPOSITION AU PAIEMENT</t>
  </si>
  <si>
    <t>STE TIKKIRT : TOTAL</t>
  </si>
  <si>
    <t>AIT OUCHEN</t>
  </si>
  <si>
    <t>8865</t>
  </si>
  <si>
    <t>8863</t>
  </si>
  <si>
    <t>PI : Montant Initial  130 000: BOUYA</t>
  </si>
  <si>
    <t>AIT OUCHEN : TOTAL</t>
  </si>
  <si>
    <t>IZEF TRANS</t>
  </si>
  <si>
    <t>9744</t>
  </si>
  <si>
    <t>PI : REP LE 19/08/15</t>
  </si>
  <si>
    <t>IZEF TRANS : EL LEFFAF</t>
  </si>
  <si>
    <t>CAM</t>
  </si>
  <si>
    <t>3902</t>
  </si>
  <si>
    <t>IZEF TRANS : TOTAL</t>
  </si>
  <si>
    <t>CHAFIQ : HANIFA</t>
  </si>
  <si>
    <t>3302</t>
  </si>
  <si>
    <t>PI : Montant Initial  20 000</t>
  </si>
  <si>
    <t>RIDALAQ TRX : LAQBAIBI REDA</t>
  </si>
  <si>
    <t>CIH</t>
  </si>
  <si>
    <t>4094</t>
  </si>
  <si>
    <t>PI : REP LE 18/07/16</t>
  </si>
  <si>
    <t>4095</t>
  </si>
  <si>
    <t>4096</t>
  </si>
  <si>
    <t xml:space="preserve">RIDALAQ TRX : TOTAL </t>
  </si>
  <si>
    <t>CHEF MED</t>
  </si>
  <si>
    <t>0239</t>
  </si>
  <si>
    <t>PI :</t>
  </si>
  <si>
    <t>0240</t>
  </si>
  <si>
    <t>0241</t>
  </si>
  <si>
    <t>CHEF MED : TOTAL</t>
  </si>
  <si>
    <t>AKSAA CONSTRUCT : BENDAOUDI</t>
  </si>
  <si>
    <t>9039</t>
  </si>
  <si>
    <t>PI : Montant Initial  50 000</t>
  </si>
  <si>
    <t>EL BOURI JABAR</t>
  </si>
  <si>
    <t>5995</t>
  </si>
  <si>
    <t>5998</t>
  </si>
  <si>
    <t>EL BOURI JABAR : TOTAL</t>
  </si>
  <si>
    <t>BINAYATE ERREDA</t>
  </si>
  <si>
    <t>0958</t>
  </si>
  <si>
    <t>PI : Montant Initial  52 000</t>
  </si>
  <si>
    <t>0959</t>
  </si>
  <si>
    <t>0964</t>
  </si>
  <si>
    <t>0962</t>
  </si>
  <si>
    <t>0963</t>
  </si>
  <si>
    <t>BINAYATE ERREDA : TOTAL</t>
  </si>
  <si>
    <t>SOTMAN</t>
  </si>
  <si>
    <t>BMCI</t>
  </si>
  <si>
    <t>8024</t>
  </si>
  <si>
    <t>STE MERIE BOISFATHALLAH</t>
  </si>
  <si>
    <t>3135</t>
  </si>
  <si>
    <t>PI : 18 821,19</t>
  </si>
  <si>
    <t>5924</t>
  </si>
  <si>
    <t>5926</t>
  </si>
  <si>
    <t>5928</t>
  </si>
  <si>
    <t>STE MERIE BOISFATHALLAH TOTAL</t>
  </si>
  <si>
    <t>STE SOKAYOUB</t>
  </si>
  <si>
    <t>2140</t>
  </si>
  <si>
    <t>P I : Compte 4500</t>
  </si>
  <si>
    <t>TARIK DENTISTE</t>
  </si>
  <si>
    <t>2272</t>
  </si>
  <si>
    <t>P I : Compte 4500 : 22 981,40</t>
  </si>
  <si>
    <t>SAAD EL MASSAOUDI</t>
  </si>
  <si>
    <t>MAI-JUIN19</t>
  </si>
  <si>
    <t>7147</t>
  </si>
  <si>
    <t>PI : Montant Initial  380 000</t>
  </si>
  <si>
    <t>7156</t>
  </si>
  <si>
    <t>7157</t>
  </si>
  <si>
    <t>7158</t>
  </si>
  <si>
    <t xml:space="preserve"> SAAD EL MASSAOUDI: TOTAL</t>
  </si>
  <si>
    <t>BELGHITI SAID</t>
  </si>
  <si>
    <t>0147</t>
  </si>
  <si>
    <t>Sur Imp HYDRAULIQUE : 4500 PI Mnt Initial 143 568</t>
  </si>
  <si>
    <t>0165</t>
  </si>
  <si>
    <t>Sur Imp HYDRAULIQUE : 4500 PI Mnt Initial 161712</t>
  </si>
  <si>
    <t>BELGHITI SAID: STE BIROUK</t>
  </si>
  <si>
    <t>4960</t>
  </si>
  <si>
    <t>Sur Imp HYDRAULIQUE : 4500  REP LE 25/01/22</t>
  </si>
  <si>
    <t>BELGHITI SAID TOTAL</t>
  </si>
  <si>
    <t>STE BOUAOUIDI BOIS</t>
  </si>
  <si>
    <t>3268</t>
  </si>
  <si>
    <t>P I REP LE 17/12/21</t>
  </si>
  <si>
    <t>3270</t>
  </si>
  <si>
    <t>3271</t>
  </si>
  <si>
    <t>3274</t>
  </si>
  <si>
    <t>3272</t>
  </si>
  <si>
    <t>3275</t>
  </si>
  <si>
    <t>3287</t>
  </si>
  <si>
    <t>3288</t>
  </si>
  <si>
    <t>3289</t>
  </si>
  <si>
    <t>3290</t>
  </si>
  <si>
    <t>3291</t>
  </si>
  <si>
    <t>3292</t>
  </si>
  <si>
    <t>3293</t>
  </si>
  <si>
    <t>3295</t>
  </si>
  <si>
    <t>23/12-09/01/20</t>
  </si>
  <si>
    <t>3296</t>
  </si>
  <si>
    <t>3807</t>
  </si>
  <si>
    <t>3308</t>
  </si>
  <si>
    <t>3309</t>
  </si>
  <si>
    <t>3304</t>
  </si>
  <si>
    <t>3305</t>
  </si>
  <si>
    <t>3303</t>
  </si>
  <si>
    <t>3306</t>
  </si>
  <si>
    <t>3257</t>
  </si>
  <si>
    <t>P I : REP LE 07/01/21 mnt initial 24000</t>
  </si>
  <si>
    <t>3258</t>
  </si>
  <si>
    <t>PI : REP LE 12/02/21</t>
  </si>
  <si>
    <t>3262</t>
  </si>
  <si>
    <t>PI : REP LE 13/04/21</t>
  </si>
  <si>
    <t>STE BOUAOUIDI BOIS:TOTAL</t>
  </si>
  <si>
    <t>JAMAL HAKIM : BOUDJENOUIT</t>
  </si>
  <si>
    <t>3952</t>
  </si>
  <si>
    <t>KHALDI ABDELWAHED : K. DRISS</t>
  </si>
  <si>
    <t>5435</t>
  </si>
  <si>
    <t>AKHFER : LAHOUCINE BEN HAMMOU</t>
  </si>
  <si>
    <t>7574</t>
  </si>
  <si>
    <t>PI : Montant Initial  10 135</t>
  </si>
  <si>
    <t>HANIFA HAMZA</t>
  </si>
  <si>
    <t>5706</t>
  </si>
  <si>
    <t>PI MNT INITIAL 13 018,15</t>
  </si>
  <si>
    <t>HANIFA HAMZA : TOTAL</t>
  </si>
  <si>
    <t>FOGENALISUD</t>
  </si>
  <si>
    <t>4452</t>
  </si>
  <si>
    <t>PI : MONT INITIAL 20 000</t>
  </si>
  <si>
    <t>4453</t>
  </si>
  <si>
    <t>4454</t>
  </si>
  <si>
    <t>4455</t>
  </si>
  <si>
    <t>4456</t>
  </si>
  <si>
    <t>4459</t>
  </si>
  <si>
    <t>4458</t>
  </si>
  <si>
    <t>4460</t>
  </si>
  <si>
    <t>FOGENALISUD : TOTAL</t>
  </si>
  <si>
    <t>STE BATIM</t>
  </si>
  <si>
    <t>0148</t>
  </si>
  <si>
    <t>0149</t>
  </si>
  <si>
    <t>STE BATIM : TOTAL</t>
  </si>
  <si>
    <t>IMJAD SOUSS : IHIHI ELMOUSTAPHA</t>
  </si>
  <si>
    <t>5440</t>
  </si>
  <si>
    <t>5442</t>
  </si>
  <si>
    <t>IMJAD SOUSS : TOTAL</t>
  </si>
  <si>
    <t>MKHALFA ABDELLATIFI :  STE ALASKA BOIS</t>
  </si>
  <si>
    <t>1084</t>
  </si>
  <si>
    <t>PI : MNT INITIAL 34 800</t>
  </si>
  <si>
    <t xml:space="preserve">MKHALFA ABDELLATIF </t>
  </si>
  <si>
    <t>2696</t>
  </si>
  <si>
    <t>PI REP LE 17/01 MNT INITIAL 35 500</t>
  </si>
  <si>
    <t>MKHALFA ABDELLATIF : STE ALASKA BOIS</t>
  </si>
  <si>
    <t>1085</t>
  </si>
  <si>
    <t>2693</t>
  </si>
  <si>
    <t>PI REP LE 27/02/24</t>
  </si>
  <si>
    <t>2697</t>
  </si>
  <si>
    <t>PI  REP LE 28/02/24</t>
  </si>
  <si>
    <t>MKHALFA ABDELLATIF : TOTAL</t>
  </si>
  <si>
    <t>ABDELLATIF SAFI: MKHALFA ABDELLATIF</t>
  </si>
  <si>
    <t>2670</t>
  </si>
  <si>
    <t>PI : REP LE 12/12/23 MNT INITIAL 33 000</t>
  </si>
  <si>
    <t>ABDELLATIF SAFI: TOTAL</t>
  </si>
  <si>
    <t>LGHROUR MED</t>
  </si>
  <si>
    <t>0799</t>
  </si>
  <si>
    <t>COMPTE CLOTURE</t>
  </si>
  <si>
    <t>FAISSAL WOOD : MOURID MUSTAPHA</t>
  </si>
  <si>
    <t>0030</t>
  </si>
  <si>
    <t>PI : MNT INITIAL 20 000</t>
  </si>
  <si>
    <t>FAISSAL WOOD : TOTAL</t>
  </si>
  <si>
    <t>BUILDING STORE</t>
  </si>
  <si>
    <t>4765</t>
  </si>
  <si>
    <t>PI  REP LE 16/10</t>
  </si>
  <si>
    <t>4788</t>
  </si>
  <si>
    <t>4790</t>
  </si>
  <si>
    <t>4791</t>
  </si>
  <si>
    <t>7968</t>
  </si>
  <si>
    <t>7906</t>
  </si>
  <si>
    <t>PI EFFET RECU LE 06/02/24</t>
  </si>
  <si>
    <t>7897</t>
  </si>
  <si>
    <t>7898</t>
  </si>
  <si>
    <t>7900</t>
  </si>
  <si>
    <t>7901</t>
  </si>
  <si>
    <t>7903</t>
  </si>
  <si>
    <t>7904</t>
  </si>
  <si>
    <t>BUILDING STORE : TOTAL</t>
  </si>
  <si>
    <t>AZOUGAY LAHCEN : STE JANA WOOD</t>
  </si>
  <si>
    <t>0360</t>
  </si>
  <si>
    <t>PI MNT INITIAL 86 868</t>
  </si>
  <si>
    <t>AZOUGAY LAHCEN : EZZAHRA AIT YASSINE</t>
  </si>
  <si>
    <t>AVANCE</t>
  </si>
  <si>
    <t>3601</t>
  </si>
  <si>
    <t>AZOUGAY LAHCEN :  TOTAL</t>
  </si>
  <si>
    <t>ROUIKA HAKIM : ATELIER MC</t>
  </si>
  <si>
    <t>4649</t>
  </si>
  <si>
    <t>ROUIKA HAKIM : BELMATCONS</t>
  </si>
  <si>
    <t>7469</t>
  </si>
  <si>
    <t>PI MNT INITIAL 150 000 DHS</t>
  </si>
  <si>
    <t>ROUIKA HAKIM : HLAM SCES</t>
  </si>
  <si>
    <t>6396</t>
  </si>
  <si>
    <t>PI REP LE 23/12/2025 MNT INITIAL 110 000</t>
  </si>
  <si>
    <t>6398</t>
  </si>
  <si>
    <t>PI REP LE 30/12/2025</t>
  </si>
  <si>
    <t>ROUIKA HAKIM : TOTAL</t>
  </si>
  <si>
    <t>BIK WOOD :  RIDSAN IMMOBILIER</t>
  </si>
  <si>
    <t>0281</t>
  </si>
  <si>
    <t>0282</t>
  </si>
  <si>
    <t>0283</t>
  </si>
  <si>
    <t>0284</t>
  </si>
  <si>
    <t>0285</t>
  </si>
  <si>
    <t>0286</t>
  </si>
  <si>
    <t>BIK WOOD :  TOTAL</t>
  </si>
  <si>
    <t>FOUAD MED : AF2S</t>
  </si>
  <si>
    <t>8594</t>
  </si>
  <si>
    <t>PI MNT INITIAL 29 900</t>
  </si>
  <si>
    <t>FOUAD MED : TOTAL</t>
  </si>
  <si>
    <t>LAGRARA KHALID : EL AHMAR MED</t>
  </si>
  <si>
    <t>7587</t>
  </si>
  <si>
    <t>PI MNT INITIAL 77 000</t>
  </si>
  <si>
    <t>LGRARA KHALID : TOTAL</t>
  </si>
  <si>
    <t>SADIK MED : SAAD JAMAL</t>
  </si>
  <si>
    <t>UMNIA BK</t>
  </si>
  <si>
    <t>0037</t>
  </si>
  <si>
    <t>PI : REP LE 15/01/25 MNT INITIAL 24 696</t>
  </si>
  <si>
    <t>SADIK : TOTAL</t>
  </si>
  <si>
    <t>STE SUD MAROC CONSTRUCTION</t>
  </si>
  <si>
    <t>0069</t>
  </si>
  <si>
    <t>0103</t>
  </si>
  <si>
    <t>0071</t>
  </si>
  <si>
    <t>1415</t>
  </si>
  <si>
    <t>7757</t>
  </si>
  <si>
    <t>8153</t>
  </si>
  <si>
    <t>STE SUD MAROC CONSTRUCTION: TOTAL</t>
  </si>
  <si>
    <t>SELTRA</t>
  </si>
  <si>
    <t>5577</t>
  </si>
  <si>
    <t>SELTRA : TOTAL</t>
  </si>
  <si>
    <t>AIT LAHCEN ABDELLAH : F H EQUIPEMENT</t>
  </si>
  <si>
    <t>4921</t>
  </si>
  <si>
    <t>PI : MNT INITIAL 11 800</t>
  </si>
  <si>
    <t>AIT LAHCEN ABDELLAH : TOTAL</t>
  </si>
  <si>
    <t>AIT LAHCEN MOHAMED : SONAROUZ</t>
  </si>
  <si>
    <t>3209</t>
  </si>
  <si>
    <t>PI : MNT INITIAL 47 000</t>
  </si>
  <si>
    <t>TAIFOUR BRAHIM : AMECODIV</t>
  </si>
  <si>
    <t>4114</t>
  </si>
  <si>
    <t>TAIFOUR BRAHIM : TOTAL</t>
  </si>
  <si>
    <t>PROVISION BUILDWORK</t>
  </si>
  <si>
    <t>7666</t>
  </si>
  <si>
    <t>PI MNT INITIAL 55 000</t>
  </si>
  <si>
    <t>7665</t>
  </si>
  <si>
    <t>PI REP LE 05/02/2026</t>
  </si>
  <si>
    <t>AMINE ABDELOUAHAD</t>
  </si>
  <si>
    <t>5723</t>
  </si>
  <si>
    <t>5716</t>
  </si>
  <si>
    <t>5721</t>
  </si>
  <si>
    <t>AMINE ABDELOUAHAD : TOTAL</t>
  </si>
  <si>
    <t>BOUKDAIR : NEOCO</t>
  </si>
  <si>
    <t>1121</t>
  </si>
  <si>
    <t>SIGNATURE NON CONFORME MNT INITIAL 44 700</t>
  </si>
  <si>
    <t>BOUKDAIR : TOTAL</t>
  </si>
  <si>
    <t>GUERTAOUI : STE CONTRACT EXPERT TRVX</t>
  </si>
  <si>
    <t>9099</t>
  </si>
  <si>
    <t>CPTE FRAPPE DE SAISIE ARRET MNT INITIAL 25 000</t>
  </si>
  <si>
    <t>GUERTAOUI : ABDERRAZZAK KHALIKI</t>
  </si>
  <si>
    <t>0397</t>
  </si>
  <si>
    <t>PI REP LE 17/04/26</t>
  </si>
  <si>
    <t>GUERTAOUI : CONTRACT EXPERT TRVX</t>
  </si>
  <si>
    <t>9106</t>
  </si>
  <si>
    <t>PI- COMPTE FRAPPE DE SAISIE ARRET</t>
  </si>
  <si>
    <t>GUERTAOUI : TOTAL</t>
  </si>
  <si>
    <t>TARGA POOL</t>
  </si>
  <si>
    <t>9353</t>
  </si>
  <si>
    <t>PI Versé le 10/10/25</t>
  </si>
  <si>
    <t>9354</t>
  </si>
  <si>
    <t>PI Versé le 14/10/25</t>
  </si>
  <si>
    <t>9355</t>
  </si>
  <si>
    <t>PI Versé le 16/10/25 MNT INITIAL 35351,49</t>
  </si>
  <si>
    <t>9358</t>
  </si>
  <si>
    <t>9356</t>
  </si>
  <si>
    <t>9357</t>
  </si>
  <si>
    <t>9359</t>
  </si>
  <si>
    <t>7482</t>
  </si>
  <si>
    <t>TARGA POOL : TOTAL</t>
  </si>
  <si>
    <t>KHALDI EL KEBIR : KHALDI DRISS</t>
  </si>
  <si>
    <t>0580</t>
  </si>
  <si>
    <t>PI MNT INITIAL 62 943</t>
  </si>
  <si>
    <t>0578</t>
  </si>
  <si>
    <t>PI MNT INITIAL 60000</t>
  </si>
  <si>
    <t>KHALDI EL KEBIR : TOTAL</t>
  </si>
  <si>
    <t>BOUIKEROUAN ABDELLAH :</t>
  </si>
  <si>
    <t>9923</t>
  </si>
  <si>
    <t>PI MNT INITIAL 106 231,00</t>
  </si>
  <si>
    <t>9931</t>
  </si>
  <si>
    <t>PI MAL LIBELLE</t>
  </si>
  <si>
    <t>9932</t>
  </si>
  <si>
    <t>9937</t>
  </si>
  <si>
    <t>9938</t>
  </si>
  <si>
    <t>9939</t>
  </si>
  <si>
    <t>BOUIKEROUAN ABDELLAH : TOTAL</t>
  </si>
  <si>
    <t>TRADING SOLUTIONS CPNY</t>
  </si>
  <si>
    <t>5479</t>
  </si>
  <si>
    <t>5489</t>
  </si>
  <si>
    <t>5492</t>
  </si>
  <si>
    <t>TRADING SOLUTIONS CPNY : TOTAL</t>
  </si>
  <si>
    <t>EQUIPEMENT  EL OUALI</t>
  </si>
  <si>
    <t>0058</t>
  </si>
  <si>
    <t>PI 262 752</t>
  </si>
  <si>
    <t>EL KAANICH JAMAA</t>
  </si>
  <si>
    <t>9012</t>
  </si>
  <si>
    <t>PI MNT INITIAL 222 562,94</t>
  </si>
  <si>
    <t>ESSRIFI FRS DE MERIE</t>
  </si>
  <si>
    <t>2891</t>
  </si>
  <si>
    <t>2982</t>
  </si>
  <si>
    <t>ESSRIFI FRS DE MERIE : TOTAL</t>
  </si>
  <si>
    <t>MAROPAL CONSTRUCTION</t>
  </si>
  <si>
    <t>4116</t>
  </si>
  <si>
    <t>PI MNT INITIAL 113256</t>
  </si>
  <si>
    <t>MAROPAL CONSTRUCTION : TOTAL</t>
  </si>
  <si>
    <t>DAM BOIS</t>
  </si>
  <si>
    <t>0471</t>
  </si>
  <si>
    <t>PI REP LE 19/06/26</t>
  </si>
  <si>
    <t>5008</t>
  </si>
  <si>
    <t>DAM BOIS : TOTAL</t>
  </si>
  <si>
    <r>
      <rPr>
        <b/>
        <sz val="10"/>
        <color rgb="FFFF0000"/>
        <rFont val="Calibri"/>
        <charset val="134"/>
        <scheme val="minor"/>
      </rPr>
      <t>GOURD BOIS</t>
    </r>
    <r>
      <rPr>
        <sz val="10"/>
        <color theme="1"/>
        <rFont val="Calibri"/>
        <charset val="134"/>
        <scheme val="minor"/>
      </rPr>
      <t xml:space="preserve"> : SMART DECOR</t>
    </r>
  </si>
  <si>
    <t>6273</t>
  </si>
  <si>
    <t>SIGNATURE NON CONFORME</t>
  </si>
  <si>
    <t>ESE BENELHOU FRERES</t>
  </si>
  <si>
    <t>1234</t>
  </si>
  <si>
    <t>BONNAANAA FAOUZI</t>
  </si>
  <si>
    <t>2843</t>
  </si>
  <si>
    <t>PI COUVERTURE</t>
  </si>
  <si>
    <t>STE FTGM</t>
  </si>
  <si>
    <t>PI + SIGNATURE NON CONFORME</t>
  </si>
  <si>
    <t>COGEMAT</t>
  </si>
  <si>
    <t>0401</t>
  </si>
  <si>
    <t>PI REP LE 17/07/2026</t>
  </si>
  <si>
    <t>5074</t>
  </si>
  <si>
    <t>COGEMAT : TOTAL</t>
  </si>
  <si>
    <t>TOTAL IMPAYES NABIL</t>
  </si>
  <si>
    <t>Total  Impayés NABIL au 24/07/2026</t>
  </si>
  <si>
    <t>Total  Impayés NABIL au 17/07/2026</t>
  </si>
  <si>
    <t>Total  Impayés NABIL au  10/07/2026</t>
  </si>
  <si>
    <t xml:space="preserve">      :  Nouvel Impayé</t>
  </si>
  <si>
    <t xml:space="preserve">   LISTE DES IMPAYES OMAR AU 31/07/2026</t>
  </si>
  <si>
    <t xml:space="preserve"> BELAADIM HJ LAHCE: MARIKH</t>
  </si>
  <si>
    <t>OMAR</t>
  </si>
  <si>
    <t xml:space="preserve"> BELAADIM HJ LAHCEN: ASSMLAL</t>
  </si>
  <si>
    <t>PI : REP LE 10/03/15</t>
  </si>
  <si>
    <t xml:space="preserve"> BELAADIM HJ LAHCEN:AKARID</t>
  </si>
  <si>
    <t xml:space="preserve"> BELAADIM HJ LAHCEN:AROUKAD</t>
  </si>
  <si>
    <t>PI mnt Initial 147 604,64</t>
  </si>
  <si>
    <t xml:space="preserve"> BELAADIM HJ LAHCEN:HABYBALLAH</t>
  </si>
  <si>
    <t xml:space="preserve"> BELAADIM HJ LAHCEN : TOTAL</t>
  </si>
  <si>
    <t xml:space="preserve"> SERIE LMAJD: AFLLA</t>
  </si>
  <si>
    <t xml:space="preserve"> SERIE LMAJD: TOTAL</t>
  </si>
  <si>
    <t>BAKARE</t>
  </si>
  <si>
    <t>PI mnt Initial 62 123,69-Dossier remis à M.BOUYA</t>
  </si>
  <si>
    <t>KASSANI</t>
  </si>
  <si>
    <t>PI -Dossier remis à M.BOUYA</t>
  </si>
  <si>
    <t>YAHYA OURRAD : MKCH</t>
  </si>
  <si>
    <t>SIGN NON CONFORME- M Initial 100 000</t>
  </si>
  <si>
    <t>EL BARI ESSAID</t>
  </si>
  <si>
    <t>PI MNT INITIAL 90580</t>
  </si>
  <si>
    <t>EL BARI ESSAID : TOTAL</t>
  </si>
  <si>
    <t>BOUBNINA RADOUANE</t>
  </si>
  <si>
    <t>PI : MT INITIAL 167 913,54</t>
  </si>
  <si>
    <t>PI : MT INITIAL 203 110,93</t>
  </si>
  <si>
    <t>BOUBNINA RADOUANE : TOTAL</t>
  </si>
  <si>
    <t>MAHMOUD BOIS</t>
  </si>
  <si>
    <t>PI mnt Initial38 412,26-Dossier remis à M.BOUYA</t>
  </si>
  <si>
    <t>ETRANE BOIS+ MAHMOUD BOIS</t>
  </si>
  <si>
    <t>ABSENCE DE COMPTE</t>
  </si>
  <si>
    <t>ETRANE BOIS+ MAHMOUD BOIS:TOT</t>
  </si>
  <si>
    <t>STE EL OILLAF</t>
  </si>
  <si>
    <t>STE EL OILLAF : TOTAL</t>
  </si>
  <si>
    <t>IZIKI BOIS</t>
  </si>
  <si>
    <t>PI : REP LE 18/12/2019</t>
  </si>
  <si>
    <t>SORETRAD</t>
  </si>
  <si>
    <t>SUR IMPAYE : PI 4500 MNT INITIAL 35 000DHS</t>
  </si>
  <si>
    <t>SORETRAD : TOTAL</t>
  </si>
  <si>
    <t>STE WIDAS</t>
  </si>
  <si>
    <t>PI : REP LE 20/05/22</t>
  </si>
  <si>
    <t>STE WIDAS : TOTAL</t>
  </si>
  <si>
    <t>OUADRIM BOIS: ABDELKEBIR OUHMID</t>
  </si>
  <si>
    <t>8989</t>
  </si>
  <si>
    <t>PI : MNT INITIAL 61 773,88</t>
  </si>
  <si>
    <t>8539</t>
  </si>
  <si>
    <t>OUADRIM BOIS : TOTAL</t>
  </si>
  <si>
    <t>MEDLEAU</t>
  </si>
  <si>
    <t>9692</t>
  </si>
  <si>
    <t>PI MNT INITIAL 299 339,43</t>
  </si>
  <si>
    <t>EL YOUSSFI MED</t>
  </si>
  <si>
    <t>0229</t>
  </si>
  <si>
    <t>MERIE BERRAZZOUQ</t>
  </si>
  <si>
    <t>0094</t>
  </si>
  <si>
    <t>PI : VERSE LE 16/04/2026</t>
  </si>
  <si>
    <t>0095</t>
  </si>
  <si>
    <t>0096</t>
  </si>
  <si>
    <t>0097</t>
  </si>
  <si>
    <t>0098</t>
  </si>
  <si>
    <t>0099</t>
  </si>
  <si>
    <t>0100</t>
  </si>
  <si>
    <t>MERIE BERRAZZOUQ : TOTAL</t>
  </si>
  <si>
    <t>CHAGNA IMMOBILIER : CHOUIKIKRACHID</t>
  </si>
  <si>
    <t>2285</t>
  </si>
  <si>
    <t>SGCN GLOBAL</t>
  </si>
  <si>
    <t>1013</t>
  </si>
  <si>
    <t>2748</t>
  </si>
  <si>
    <t>PI MANQUE SIGNATURE COMPLEMENTAIRE REP 17/07</t>
  </si>
  <si>
    <t>SGCN GLOBAL : TOTAL</t>
  </si>
  <si>
    <t>MED AMHAOUNE</t>
  </si>
  <si>
    <t>3260</t>
  </si>
  <si>
    <t xml:space="preserve">TOTAL IMPAYES OMAR </t>
  </si>
  <si>
    <t>Total  Impayés OMAR au 24/07/2026</t>
  </si>
  <si>
    <t>Total  Impayés OMAR au 17/07/2026</t>
  </si>
  <si>
    <t>Total  Impayés OMAR au 10/07/2026</t>
  </si>
  <si>
    <t>TOTAL IMPAYES OMAR</t>
  </si>
  <si>
    <t>LISTE DES IMPAYES DIRECTION  AU 10/07/2026</t>
  </si>
  <si>
    <t>COSCO</t>
  </si>
  <si>
    <t>DIRCT</t>
  </si>
  <si>
    <t>PI: Montant initial 72 192</t>
  </si>
  <si>
    <t>ESPACE SOFIA</t>
  </si>
  <si>
    <t>PI: Compte 4500</t>
  </si>
  <si>
    <t>TOTAL IMPAYES DIRECTION</t>
  </si>
  <si>
    <t>Total  Impayés Direction au  30/01/2025</t>
  </si>
  <si>
    <t>Total  Impayés Direction au 23/01/2025</t>
  </si>
  <si>
    <t>Total  Impayés Direction au</t>
  </si>
  <si>
    <t>LISTE DES IMPAYES FAYCAL AU 31/07/2026</t>
  </si>
  <si>
    <t>CHERKAOUI ABDESSADEK</t>
  </si>
  <si>
    <t>Fayçal</t>
  </si>
  <si>
    <t>Cheq Prescrit: Montant initial 121 932,02</t>
  </si>
  <si>
    <t>BOUKRIM EL HOUCINE</t>
  </si>
  <si>
    <t>PI: Montant initial 70 000</t>
  </si>
  <si>
    <t>HANDASSA: STROC INDUSTRIE</t>
  </si>
  <si>
    <t>STE KAZETTE :JAMAL DAHIR</t>
  </si>
  <si>
    <t>9712</t>
  </si>
  <si>
    <t>CHEQ FRAPE D'INDISPONI:50 000</t>
  </si>
  <si>
    <t>9718</t>
  </si>
  <si>
    <t>CHEQ FRAPE D'INDISPONIBILITE</t>
  </si>
  <si>
    <t>9717</t>
  </si>
  <si>
    <t>9713</t>
  </si>
  <si>
    <t>STE KAZETTE :TOTAL</t>
  </si>
  <si>
    <t>6978</t>
  </si>
  <si>
    <t>PI: Montant initial 70 000 Cpte 4500</t>
  </si>
  <si>
    <t>CHARIKAT AL MISSRI</t>
  </si>
  <si>
    <t>2035</t>
  </si>
  <si>
    <t>CHARIKAT AL MISRI LIL AAMAL</t>
  </si>
  <si>
    <t>2029</t>
  </si>
  <si>
    <t>PI : REP LE 29/07/20</t>
  </si>
  <si>
    <t>CHARIKAT AL MISSRI: TOTAL</t>
  </si>
  <si>
    <t>JAMALI ESSAID : JAMALI WOOD</t>
  </si>
  <si>
    <t>0011</t>
  </si>
  <si>
    <t>PI : MNT INITIAL 51700 REP LE 15/9</t>
  </si>
  <si>
    <t>JAMALI ESSAID : TOTAL</t>
  </si>
  <si>
    <t>ZAROIL YOUSSEF : ALLSTEEL MAROC</t>
  </si>
  <si>
    <t>7429</t>
  </si>
  <si>
    <t>SIGNATURE NON CONFORME62215,60</t>
  </si>
  <si>
    <t>ZAROIL YOUSSEF :  TOTAL</t>
  </si>
  <si>
    <t>SOUAF LAHOUCINE : TURKIA SHOP OFFICIEL</t>
  </si>
  <si>
    <t>PI : MNT INITIAL 10 000</t>
  </si>
  <si>
    <t>SOUAF LAHOUCINE : TOTAL</t>
  </si>
  <si>
    <t>BEDHAJ BOIS: STE IMDOUKAL MERIE</t>
  </si>
  <si>
    <t>1659</t>
  </si>
  <si>
    <t xml:space="preserve">PI MNT INITIAL </t>
  </si>
  <si>
    <t>BEDHAJ BOIS : TOTAL</t>
  </si>
  <si>
    <t>SBIK : ABOUYOU TRVX DIVERS</t>
  </si>
  <si>
    <t>2392</t>
  </si>
  <si>
    <t>SBIK : TOTAL</t>
  </si>
  <si>
    <t>BENNASSER ABDELFATTAH : STE ZAHRAT EL FARAH</t>
  </si>
  <si>
    <t>0101</t>
  </si>
  <si>
    <t>PI REP LE 15/06/2026</t>
  </si>
  <si>
    <t>BENNASSER ABDELFATTAH : TOTAL</t>
  </si>
  <si>
    <t>BELBARAKA MED SALAH : STE KOUGRI</t>
  </si>
  <si>
    <t>4424</t>
  </si>
  <si>
    <t>PI REP LE 26/02/2026 MNT INITIAL 25 000</t>
  </si>
  <si>
    <t>NID YOUSSEF BRAHIM</t>
  </si>
  <si>
    <t>STE BANER BOIS</t>
  </si>
  <si>
    <t>5576</t>
  </si>
  <si>
    <r>
      <rPr>
        <b/>
        <sz val="10"/>
        <color rgb="FFFF0000"/>
        <rFont val="Calibri"/>
        <charset val="134"/>
        <scheme val="minor"/>
      </rPr>
      <t>EL HAMMOUTI BOIS</t>
    </r>
    <r>
      <rPr>
        <sz val="10"/>
        <rFont val="Calibri"/>
        <charset val="134"/>
        <scheme val="minor"/>
      </rPr>
      <t xml:space="preserve"> : BOUNAKHLA IBRAHIM YASSIR</t>
    </r>
  </si>
  <si>
    <t>ANCIEN BOIS</t>
  </si>
  <si>
    <t>SAHAM BK</t>
  </si>
  <si>
    <t>6186</t>
  </si>
  <si>
    <t>G3C</t>
  </si>
  <si>
    <t>3901</t>
  </si>
  <si>
    <t>GOLD SUD BATIMENT</t>
  </si>
  <si>
    <t>0620</t>
  </si>
  <si>
    <t>TOTAL IMPAYES FAYCAL</t>
  </si>
  <si>
    <t xml:space="preserve"> </t>
  </si>
  <si>
    <t>Total  Impayés FAYCAL au 24/07/2026</t>
  </si>
  <si>
    <t>Total  Impayés FAYCAL au 17/07/2026</t>
  </si>
  <si>
    <t>Total  Impayés FAYCAL au 10/07/2026</t>
  </si>
  <si>
    <t>LISTE DES IMPAYES NAOUFAL AU 31/07/2026</t>
  </si>
  <si>
    <t xml:space="preserve">ABOUSSALIH HICHAM </t>
  </si>
  <si>
    <t>NAOUFAL</t>
  </si>
  <si>
    <t>6084</t>
  </si>
  <si>
    <t>PI: MNT INITIAL 167663</t>
  </si>
  <si>
    <t>ABOUSSALIH HICHAM : TOTAL</t>
  </si>
  <si>
    <t>CHAKHMA ABDELKADER</t>
  </si>
  <si>
    <t>3936</t>
  </si>
  <si>
    <t>3937</t>
  </si>
  <si>
    <t>3938</t>
  </si>
  <si>
    <t>3939</t>
  </si>
  <si>
    <t>3940</t>
  </si>
  <si>
    <t>7708</t>
  </si>
  <si>
    <t>CHAKHMA ABDELKADER : TOTAL</t>
  </si>
  <si>
    <t>ELJIBAOUI ABDELHAMID</t>
  </si>
  <si>
    <t>0483</t>
  </si>
  <si>
    <t>8799</t>
  </si>
  <si>
    <t>PI: REP LE 23/02/24</t>
  </si>
  <si>
    <t>ELJIBAOUI ABDELHAMID : TOTAL</t>
  </si>
  <si>
    <t>STE SORAYASS : STE QUOTIDIEN DESIGN</t>
  </si>
  <si>
    <t>0066</t>
  </si>
  <si>
    <t>STE SORAYASS : STE SOS MARRAKECH</t>
  </si>
  <si>
    <t>9291</t>
  </si>
  <si>
    <t>PI REP LE 13/08/25 MNT INITIAL 57 000</t>
  </si>
  <si>
    <t>STE SORAYASS : STE MARGHOUME SAKAN</t>
  </si>
  <si>
    <t>8692</t>
  </si>
  <si>
    <t>STE SORAYASS : KAMAL DARAI</t>
  </si>
  <si>
    <t>0611</t>
  </si>
  <si>
    <t>0610</t>
  </si>
  <si>
    <t>0612</t>
  </si>
  <si>
    <t>0609</t>
  </si>
  <si>
    <t xml:space="preserve">STE SORAYASS </t>
  </si>
  <si>
    <t>6155</t>
  </si>
  <si>
    <t>PI : MNT INITIAL 56 250</t>
  </si>
  <si>
    <t>6156</t>
  </si>
  <si>
    <t>STE SORAYASS</t>
  </si>
  <si>
    <t>7179</t>
  </si>
  <si>
    <t>7180</t>
  </si>
  <si>
    <t>7182</t>
  </si>
  <si>
    <t>7183</t>
  </si>
  <si>
    <t>STE SORAYASS : STE SGB 2</t>
  </si>
  <si>
    <t>0443</t>
  </si>
  <si>
    <t>7267</t>
  </si>
  <si>
    <t>7268</t>
  </si>
  <si>
    <t>7271</t>
  </si>
  <si>
    <t>7273</t>
  </si>
  <si>
    <t>7274</t>
  </si>
  <si>
    <t>7275</t>
  </si>
  <si>
    <t>7276</t>
  </si>
  <si>
    <t>7993</t>
  </si>
  <si>
    <t>7994</t>
  </si>
  <si>
    <t>7996</t>
  </si>
  <si>
    <t>7998</t>
  </si>
  <si>
    <t>7997</t>
  </si>
  <si>
    <t>8000</t>
  </si>
  <si>
    <t>8001</t>
  </si>
  <si>
    <t>8003</t>
  </si>
  <si>
    <t>8004</t>
  </si>
  <si>
    <t>STE SORAYASS :TOTAL</t>
  </si>
  <si>
    <t>DBAGH BEN MBARK : SAMAD ABDESLAM</t>
  </si>
  <si>
    <t>6206</t>
  </si>
  <si>
    <t>PI MNT INITIAL 112 640</t>
  </si>
  <si>
    <t>TURKIYEM</t>
  </si>
  <si>
    <t>5621</t>
  </si>
  <si>
    <t>CHEQUE ILLISIBLE</t>
  </si>
  <si>
    <t>HAMOUD BOIS</t>
  </si>
  <si>
    <t>0666</t>
  </si>
  <si>
    <t>SIGN NON CONFORME REP LE 19/01/26</t>
  </si>
  <si>
    <t>1046</t>
  </si>
  <si>
    <t>1047</t>
  </si>
  <si>
    <t>0979</t>
  </si>
  <si>
    <t>HAMOUD BOIS : TOTAL</t>
  </si>
  <si>
    <t>MY ARTISANS</t>
  </si>
  <si>
    <t>3896</t>
  </si>
  <si>
    <t>0817</t>
  </si>
  <si>
    <t>PI : MNT INITIAL 39 435</t>
  </si>
  <si>
    <t>0818</t>
  </si>
  <si>
    <t>0819</t>
  </si>
  <si>
    <t>0820</t>
  </si>
  <si>
    <t>3897</t>
  </si>
  <si>
    <t>3900</t>
  </si>
  <si>
    <t>3904</t>
  </si>
  <si>
    <t>3903</t>
  </si>
  <si>
    <t>4074</t>
  </si>
  <si>
    <t>MY ARTISANS : ERRAHMANI IMMOBILIER</t>
  </si>
  <si>
    <t>0004</t>
  </si>
  <si>
    <t>PI MNT INITIAL 114 187,50</t>
  </si>
  <si>
    <t>MY ARTISANS : TOTAL</t>
  </si>
  <si>
    <t>AIT NASSER : STE AIT NASSER</t>
  </si>
  <si>
    <t>7550</t>
  </si>
  <si>
    <t>7569</t>
  </si>
  <si>
    <t>7390</t>
  </si>
  <si>
    <t>AIT NASSER : TOTAL</t>
  </si>
  <si>
    <t>AW DECOR</t>
  </si>
  <si>
    <t>3205</t>
  </si>
  <si>
    <t>3215</t>
  </si>
  <si>
    <t>3231</t>
  </si>
  <si>
    <t>3233</t>
  </si>
  <si>
    <t>3244</t>
  </si>
  <si>
    <t>3234</t>
  </si>
  <si>
    <t>3235</t>
  </si>
  <si>
    <t>3237</t>
  </si>
  <si>
    <t>3238</t>
  </si>
  <si>
    <t>3239</t>
  </si>
  <si>
    <t>3201</t>
  </si>
  <si>
    <t>PI REP LE 19/026</t>
  </si>
  <si>
    <t>3207</t>
  </si>
  <si>
    <t>PI REP LE 26/06/26</t>
  </si>
  <si>
    <t>3240</t>
  </si>
  <si>
    <t>3242</t>
  </si>
  <si>
    <t>3247</t>
  </si>
  <si>
    <t>AW DECOR : TOTAL</t>
  </si>
  <si>
    <t>NOUIDRA BOIS</t>
  </si>
  <si>
    <t>0248</t>
  </si>
  <si>
    <t>TOTAL IMPAYES NAOUFAL</t>
  </si>
  <si>
    <t>TOTAL IMPAYES NAOUFAL AU 24/07/2026</t>
  </si>
  <si>
    <t>TOTAL IMPAYES NAOUFAL AU  17/07/2026</t>
  </si>
  <si>
    <t>TOTAL IMPAYES NAOUFAL AU 10/07/2026</t>
  </si>
  <si>
    <t>LISTE DES IMPAYES FAHD AU 31/07/2026</t>
  </si>
  <si>
    <r>
      <rPr>
        <b/>
        <sz val="10"/>
        <color rgb="FFFF0000"/>
        <rFont val="Calibri"/>
        <charset val="134"/>
        <scheme val="minor"/>
      </rPr>
      <t>AIT HAMOU ABDELLATIF</t>
    </r>
    <r>
      <rPr>
        <b/>
        <sz val="10"/>
        <color rgb="FF000000"/>
        <rFont val="Calibri"/>
        <charset val="134"/>
        <scheme val="minor"/>
      </rPr>
      <t xml:space="preserve"> : </t>
    </r>
    <r>
      <rPr>
        <sz val="10"/>
        <color rgb="FF000000"/>
        <rFont val="Calibri"/>
        <charset val="134"/>
        <scheme val="minor"/>
      </rPr>
      <t>AIT HAMMOU MED</t>
    </r>
  </si>
  <si>
    <t>FAHD</t>
  </si>
  <si>
    <t>3126</t>
  </si>
  <si>
    <t>HAJAR BOIS : REBEL CONSTRUCTION</t>
  </si>
  <si>
    <t>7936</t>
  </si>
  <si>
    <t>PI MNT INITIAL 33 625</t>
  </si>
  <si>
    <t>HAJAR BOIS : MY BELLA BATIMENT</t>
  </si>
  <si>
    <t>4939</t>
  </si>
  <si>
    <t>PI MNT INITIAL 16 000</t>
  </si>
  <si>
    <t xml:space="preserve">HAJAR BOIS </t>
  </si>
  <si>
    <t>5528</t>
  </si>
  <si>
    <t>5527</t>
  </si>
  <si>
    <t>5543</t>
  </si>
  <si>
    <t>5544</t>
  </si>
  <si>
    <t>HAJAR BOIS : MED ABJAOU</t>
  </si>
  <si>
    <t>9474</t>
  </si>
  <si>
    <t>2414</t>
  </si>
  <si>
    <t>HAJAR BOIS : LINA WOOD</t>
  </si>
  <si>
    <t>0038</t>
  </si>
  <si>
    <t>9479</t>
  </si>
  <si>
    <t>2411</t>
  </si>
  <si>
    <t>2424</t>
  </si>
  <si>
    <t>HAJAR BOIS :LINA WOOD</t>
  </si>
  <si>
    <t>0040</t>
  </si>
  <si>
    <t>HAJAR BOIS : SALWA MOUCHANE</t>
  </si>
  <si>
    <t>7235</t>
  </si>
  <si>
    <t>0028</t>
  </si>
  <si>
    <t>PI REP LE 15/05/26</t>
  </si>
  <si>
    <t>2438</t>
  </si>
  <si>
    <t>2442</t>
  </si>
  <si>
    <r>
      <rPr>
        <b/>
        <sz val="10"/>
        <color rgb="FFFF0000"/>
        <rFont val="Calibri"/>
        <charset val="134"/>
      </rPr>
      <t>HAJAR BOIS</t>
    </r>
    <r>
      <rPr>
        <sz val="10"/>
        <rFont val="Calibri"/>
        <charset val="134"/>
      </rPr>
      <t xml:space="preserve"> : TOTAL</t>
    </r>
  </si>
  <si>
    <t>BADOUR GHA SERVICE</t>
  </si>
  <si>
    <t>6833</t>
  </si>
  <si>
    <t>PI REP LE 04/03/24</t>
  </si>
  <si>
    <t>AL AIN AMEUBLEMENT</t>
  </si>
  <si>
    <t>7636</t>
  </si>
  <si>
    <t>PI: MNT INITIAL 40 000</t>
  </si>
  <si>
    <t>7635</t>
  </si>
  <si>
    <t>AL AIN AMEUBLEMENT : TOTAL</t>
  </si>
  <si>
    <t>KAFIF LARBI</t>
  </si>
  <si>
    <t>1027</t>
  </si>
  <si>
    <t>PI : REP LE 29/11/24-16/12/24 : 55 280</t>
  </si>
  <si>
    <t>STE AGA FERME</t>
  </si>
  <si>
    <t>4563</t>
  </si>
  <si>
    <t>4560</t>
  </si>
  <si>
    <t>4648</t>
  </si>
  <si>
    <t xml:space="preserve">STE AGA FERME </t>
  </si>
  <si>
    <t>4647</t>
  </si>
  <si>
    <t>4644</t>
  </si>
  <si>
    <t>4643</t>
  </si>
  <si>
    <t>STE  AGA FERME</t>
  </si>
  <si>
    <t>4639</t>
  </si>
  <si>
    <t>4638</t>
  </si>
  <si>
    <t>4635</t>
  </si>
  <si>
    <t>STE AGA FERME : TOTAL</t>
  </si>
  <si>
    <t>FREMBAL</t>
  </si>
  <si>
    <t>4059</t>
  </si>
  <si>
    <t>PI : REP LE 09/01/26</t>
  </si>
  <si>
    <t>5525</t>
  </si>
  <si>
    <t>FREMBAL : TOTAL</t>
  </si>
  <si>
    <t>STE ELUXE BTP</t>
  </si>
  <si>
    <t>4299</t>
  </si>
  <si>
    <t>4290</t>
  </si>
  <si>
    <t>STE ELUXE BTP : TOTAL</t>
  </si>
  <si>
    <t>STE LINA WOOD</t>
  </si>
  <si>
    <t>0046</t>
  </si>
  <si>
    <t>0047</t>
  </si>
  <si>
    <t>0039</t>
  </si>
  <si>
    <t>0122</t>
  </si>
  <si>
    <t>STE LINA WOOD : TOTAL</t>
  </si>
  <si>
    <t>EL HERD EL HASSAN : EL HERD TRVX DE CONSTR</t>
  </si>
  <si>
    <t>0014</t>
  </si>
  <si>
    <t>Piµ</t>
  </si>
  <si>
    <t>021</t>
  </si>
  <si>
    <t>022</t>
  </si>
  <si>
    <t>EL HERD EL HASSAN : TOTAL</t>
  </si>
  <si>
    <t>AZIDR BOIS</t>
  </si>
  <si>
    <t>3221</t>
  </si>
  <si>
    <t>AZIDR BOIS : TOTAL</t>
  </si>
  <si>
    <t>TOTAL IMPAYES FAHD</t>
  </si>
  <si>
    <t>TOTAL IMPAYES FAHD AU 24/07/2026</t>
  </si>
  <si>
    <t>TOTAL IMPAYES FAHD AU 17/07/2026</t>
  </si>
  <si>
    <t>TOTAL IMPAYES FAHD AU 10/07/2026</t>
  </si>
  <si>
    <t>LISTE DES IMPAYES GII AU  31/07/26</t>
  </si>
  <si>
    <t>MERIE ADEBO : DABACH</t>
  </si>
  <si>
    <t>GII</t>
  </si>
  <si>
    <t>2134</t>
  </si>
  <si>
    <t xml:space="preserve">PI: Montant initial 67 176 </t>
  </si>
  <si>
    <t>EL BIAD KHALID</t>
  </si>
  <si>
    <t>2733</t>
  </si>
  <si>
    <t>PI: Montant initial 4 135,14 : M.BOUYA</t>
  </si>
  <si>
    <t>STE FASK BOIS</t>
  </si>
  <si>
    <t>PI MNT INITIAL 156 200</t>
  </si>
  <si>
    <t>PI : remis à la bq le 20/01/14</t>
  </si>
  <si>
    <t>STE FASK BOIS : TOTAL</t>
  </si>
  <si>
    <t>EVA CUISINE</t>
  </si>
  <si>
    <t>PI: Versé le 08/05/19</t>
  </si>
  <si>
    <t>EVA CUISINE : TOTAL</t>
  </si>
  <si>
    <t>MERIE ABOUELAOULA:BENHLAL SMAIL</t>
  </si>
  <si>
    <t>PI : Montant cheque versé 135 802,04</t>
  </si>
  <si>
    <t>STE DECOMARK</t>
  </si>
  <si>
    <t>MOBASSM TRAVAUX</t>
  </si>
  <si>
    <t>PI: Montant initial 8 567,99</t>
  </si>
  <si>
    <t>TARGA BOIS</t>
  </si>
  <si>
    <t>PI : REP LE 09/11/20</t>
  </si>
  <si>
    <t>TARGA BOIS : TOTAL</t>
  </si>
  <si>
    <t>LACHGAR ABDERRAZAK</t>
  </si>
  <si>
    <t>PI : REP LE 04/07/22 MNT INITIAL 2777</t>
  </si>
  <si>
    <t>STE NOUVELLE CONSTRADINE</t>
  </si>
  <si>
    <t>PI : MNT INITIAL 143406</t>
  </si>
  <si>
    <t>DIGINET COMPUTER : BADR HANGA</t>
  </si>
  <si>
    <t>PI MNT INITIAL 3000</t>
  </si>
  <si>
    <t>DIGINET COMPUTER : TOTAL</t>
  </si>
  <si>
    <t>STE AOUTA LUM</t>
  </si>
  <si>
    <t>PI : VAC</t>
  </si>
  <si>
    <t>MUSTAPHA MOUDNIB</t>
  </si>
  <si>
    <t>PI MNT INITIAL 64 120</t>
  </si>
  <si>
    <t>STE IDEA HOUSE</t>
  </si>
  <si>
    <t>PI MNT INITIAL 7169</t>
  </si>
  <si>
    <t>AMCHAHRO ABDELLAH</t>
  </si>
  <si>
    <t>PI MNT INITIAL 7000</t>
  </si>
  <si>
    <t>AMCHAHRO ABDELLAH : TOTAL</t>
  </si>
  <si>
    <t>ARCADES NEGOCE : VAC</t>
  </si>
  <si>
    <t>ARCADES NEGOCE : TOTAL</t>
  </si>
  <si>
    <t>EQUIPEMENT BTP : VAC</t>
  </si>
  <si>
    <t>MERIE LAKHDIRI : ULTRA VUSUAL</t>
  </si>
  <si>
    <t>MERIE LAKHDIRI : TOTAL</t>
  </si>
  <si>
    <t>AIT HAMOU LARBI: VAC</t>
  </si>
  <si>
    <t>AIT HAMOU LARBI VAC : TOTAL</t>
  </si>
  <si>
    <t>BOUHTITCH: AIT OUMASSINE MED</t>
  </si>
  <si>
    <t>BOUHTITCH: LAOUANE AMINE</t>
  </si>
  <si>
    <t>PI MNT INITIAL 50 000</t>
  </si>
  <si>
    <t>BOUHTITCH: TOTAL</t>
  </si>
  <si>
    <t>SUSAN MERIE</t>
  </si>
  <si>
    <t>HAMID ZAKARIA: STE EDD FISH</t>
  </si>
  <si>
    <t>BK AL AKHDAR</t>
  </si>
  <si>
    <t>HAMID ZAKARIA: BOUAISSA LAHOUCINE</t>
  </si>
  <si>
    <t>HAMID ZAKARIA: TOTAL</t>
  </si>
  <si>
    <t>OUBELLA ABDELLAH</t>
  </si>
  <si>
    <t>PI MNT INITIAL 30 000</t>
  </si>
  <si>
    <t>AGA SERVICE</t>
  </si>
  <si>
    <t>AGA SERVICE : TOTAL</t>
  </si>
  <si>
    <t>ABDELHADI KHALIFA</t>
  </si>
  <si>
    <t>PI MNT INITIAL 76 695</t>
  </si>
  <si>
    <t>BENHLAL ABDEL ILAH</t>
  </si>
  <si>
    <t>JAN-JUIN/2023</t>
  </si>
  <si>
    <t>4169</t>
  </si>
  <si>
    <t>PI MNT INITIAL 631 620,80</t>
  </si>
  <si>
    <t>MERIE BENHLAL : BENHLAL AYOUB</t>
  </si>
  <si>
    <t>MERIE BENHLAL : TOTAL</t>
  </si>
  <si>
    <t>LAMSA MERIE</t>
  </si>
  <si>
    <t>LAMSA MERIE :TOTAL</t>
  </si>
  <si>
    <t>EXCELLENCE CUISINE</t>
  </si>
  <si>
    <t>TOTAL IMPAYES GII</t>
  </si>
  <si>
    <t>Total  Impayés GII au 24/07/2025</t>
  </si>
  <si>
    <t>Total  Impayés GII au 17/07/2026</t>
  </si>
  <si>
    <t>Total  Impayés GII au 10/07/2026</t>
  </si>
  <si>
    <t>LISTE DES IMPAYES LAHCEN AU 31/07/2026</t>
  </si>
  <si>
    <t>STE ZEGHDANI MULTISCES</t>
  </si>
  <si>
    <t>LAHCEN</t>
  </si>
  <si>
    <t>7056</t>
  </si>
  <si>
    <t>PI MNT INITIAL 102 795,30</t>
  </si>
  <si>
    <t>STE ZEGHDANI MULTISCES : TOTAL</t>
  </si>
  <si>
    <t>ALTIT BOIS : RISSIELKA ALUMINIUM</t>
  </si>
  <si>
    <t>6962</t>
  </si>
  <si>
    <t>ALTIT BOIS : TOTAL</t>
  </si>
  <si>
    <t>BELAADIM AHMED SIDI BIBO : RACHID IHIHI</t>
  </si>
  <si>
    <t>1834</t>
  </si>
  <si>
    <t>1833</t>
  </si>
  <si>
    <t>1835</t>
  </si>
  <si>
    <t>BELAADIM AHMED SIDI BIBO : TOTAL</t>
  </si>
  <si>
    <t>TOTAL IMPAYES LAHCEN</t>
  </si>
  <si>
    <t>TOTAL IMPAYES LAHCEN AU 24/07/2026</t>
  </si>
  <si>
    <t>TOTAL IMPAYES LAHCEN AU 17/07/2026</t>
  </si>
  <si>
    <t>TOTAL IMPAYES LAHCEN AU 10/07/2026</t>
  </si>
  <si>
    <t>LISTE DES IMPAYES RACHID AU 31/07/2026</t>
  </si>
  <si>
    <t>NACIRI MED : STE WOOD RAIS SCE</t>
  </si>
  <si>
    <t>RACHID</t>
  </si>
  <si>
    <t>4180</t>
  </si>
  <si>
    <t>NACIRI MED : STE PRO TRAV CONSTR</t>
  </si>
  <si>
    <t>1041</t>
  </si>
  <si>
    <t>NACIRI MED : TOTAL</t>
  </si>
  <si>
    <t>JUMATIK IMMOBILIER</t>
  </si>
  <si>
    <t>5644</t>
  </si>
  <si>
    <t>5629</t>
  </si>
  <si>
    <t>5675</t>
  </si>
  <si>
    <t>JUMATIK IMMOBILIER : TOTAL</t>
  </si>
  <si>
    <t>JS BOIS</t>
  </si>
  <si>
    <t>5800</t>
  </si>
  <si>
    <t>5798</t>
  </si>
  <si>
    <t>5797</t>
  </si>
  <si>
    <t>9832</t>
  </si>
  <si>
    <t>9834</t>
  </si>
  <si>
    <t>9831</t>
  </si>
  <si>
    <t>9833</t>
  </si>
  <si>
    <t>9813</t>
  </si>
  <si>
    <t>9835</t>
  </si>
  <si>
    <t>JS BOIS : TOTAL</t>
  </si>
  <si>
    <t>ZEKNOUN RACHID : LAABIDI</t>
  </si>
  <si>
    <t>0067</t>
  </si>
  <si>
    <t>PI MNT INITIAL 43 000</t>
  </si>
  <si>
    <t>ZEKNOUN RACHID : GUESSMI BRAHIM</t>
  </si>
  <si>
    <t>9549</t>
  </si>
  <si>
    <t>ZEKNOUN RACHID : IKHLAS DECOR</t>
  </si>
  <si>
    <t>4953</t>
  </si>
  <si>
    <t>ZEKNOUN RACHID : TOTAL</t>
  </si>
  <si>
    <t>ABOU BAKR KHABA : MAQAM CONCEPT</t>
  </si>
  <si>
    <t>2437</t>
  </si>
  <si>
    <t>ABOU BAKR KHABBA : MOATAZ BOIS</t>
  </si>
  <si>
    <t>2261</t>
  </si>
  <si>
    <t>PI REP LE 10/07/25</t>
  </si>
  <si>
    <t>ABOU BAKR KHABA : TOTAL</t>
  </si>
  <si>
    <t>BURMOS : STE SEUQE TRAV</t>
  </si>
  <si>
    <t>5516</t>
  </si>
  <si>
    <t>PI REP LE 09/12/25</t>
  </si>
  <si>
    <t>TABI BOIS: WAHAB CHAIMAA</t>
  </si>
  <si>
    <t>4945</t>
  </si>
  <si>
    <t>4946</t>
  </si>
  <si>
    <t>4947</t>
  </si>
  <si>
    <t>4948</t>
  </si>
  <si>
    <t>4949</t>
  </si>
  <si>
    <t>TABI BOIS: TOTAL</t>
  </si>
  <si>
    <t>BOUGDOUR WOOD : BOUGDOUR TIMBRE</t>
  </si>
  <si>
    <t>7206</t>
  </si>
  <si>
    <t>PI REP LE 30/04/26 MNT INITIAL 76 664</t>
  </si>
  <si>
    <t>BOUGDOUR WOOD</t>
  </si>
  <si>
    <t>3047</t>
  </si>
  <si>
    <t>3048</t>
  </si>
  <si>
    <t>3049</t>
  </si>
  <si>
    <t>3050</t>
  </si>
  <si>
    <t>3052</t>
  </si>
  <si>
    <t>3053</t>
  </si>
  <si>
    <t>3054</t>
  </si>
  <si>
    <t>BOUGDOUR WOOD : TOTAL</t>
  </si>
  <si>
    <t>TOTAL IMPAYES RACHID</t>
  </si>
  <si>
    <t>TOTAL IMPAYES RACHID AU 24/07/2026</t>
  </si>
  <si>
    <t>TOTAL IMPAYES RACHID AU 17/07/2026</t>
  </si>
  <si>
    <t>TOTAL IMPAYES RACHID AU 10/07/2026</t>
  </si>
  <si>
    <t>LISTE DES IMPAYES OUSSAMA AU 31/07/2026</t>
  </si>
  <si>
    <t>LARIBAT CONSTRUCTION</t>
  </si>
  <si>
    <t>OUSSAMA</t>
  </si>
  <si>
    <t>6755</t>
  </si>
  <si>
    <t>MANQUE DEUXIEME SIGNATURE</t>
  </si>
  <si>
    <t>TOTAL IMPAYES OUSSAMA</t>
  </si>
  <si>
    <t>TOTAL IMPAYES OUSSAMA AU 24/07/2026</t>
  </si>
  <si>
    <t>TOTAL IMPAYES OUSSAMA AU 17 /07 /2026</t>
  </si>
  <si>
    <t>TOTAL IMPAYES OUSSAMA AU 10/07/2026</t>
  </si>
  <si>
    <t>TOTAL IMPAYES  OUSSAMA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</si>
</sst>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d/mm/yy;@"/>
  </numFmts>
  <fonts count="65">
    <font>
      <sz val="12"/>
      <color theme="1"/>
      <name val="Calibri"/>
      <charset val="238"/>
      <scheme val="minor"/>
    </font>
    <font>
      <b/>
      <sz val="12"/>
      <color theme="1"/>
      <name val="Calibri"/>
      <charset val="238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rgb="FFFF0000"/>
      <name val="Calibri"/>
      <charset val="134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000000"/>
      <name val="Calibri"/>
      <charset val="134"/>
      <scheme val="minor"/>
    </font>
    <font>
      <b/>
      <sz val="12"/>
      <color rgb="FF0070C0"/>
      <name val="Calibri"/>
      <charset val="134"/>
    </font>
    <font>
      <sz val="10"/>
      <name val="Calibri"/>
      <charset val="134"/>
      <scheme val="minor"/>
    </font>
    <font>
      <sz val="10"/>
      <color rgb="FFFF0000"/>
      <name val="Calibri"/>
      <charset val="134"/>
    </font>
    <font>
      <sz val="10"/>
      <color rgb="FFFF0000"/>
      <name val="Calibri"/>
      <charset val="134"/>
      <scheme val="minor"/>
    </font>
    <font>
      <sz val="10"/>
      <name val="Calibri"/>
      <charset val="134"/>
    </font>
    <font>
      <b/>
      <sz val="12"/>
      <color rgb="FFFF0000"/>
      <name val="Calibri"/>
      <charset val="134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 tint="0.0499893185216834"/>
      <name val="Calibri"/>
      <charset val="134"/>
      <scheme val="minor"/>
    </font>
    <font>
      <sz val="10"/>
      <color rgb="FF002060"/>
      <name val="Calibri"/>
      <charset val="134"/>
      <scheme val="minor"/>
    </font>
    <font>
      <b/>
      <sz val="10"/>
      <name val="Calibri"/>
      <charset val="134"/>
    </font>
    <font>
      <b/>
      <sz val="12"/>
      <color rgb="FF0000FF"/>
      <name val="Calibri"/>
      <charset val="134"/>
    </font>
    <font>
      <b/>
      <sz val="12"/>
      <color theme="9" tint="-0.249977111117893"/>
      <name val="Calibri"/>
      <charset val="134"/>
    </font>
    <font>
      <b/>
      <sz val="14"/>
      <color theme="1"/>
      <name val="Calibri"/>
      <charset val="134"/>
    </font>
    <font>
      <b/>
      <sz val="12"/>
      <name val="Calibri"/>
      <charset val="134"/>
    </font>
    <font>
      <i/>
      <sz val="12"/>
      <color theme="1"/>
      <name val="Calibri"/>
      <charset val="134"/>
      <scheme val="minor"/>
    </font>
    <font>
      <b/>
      <sz val="14"/>
      <color theme="1"/>
      <name val="Calibri"/>
      <charset val="238"/>
      <scheme val="minor"/>
    </font>
    <font>
      <i/>
      <sz val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sz val="10"/>
      <color rgb="FF0000FF"/>
      <name val="Calibri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6"/>
      <color rgb="FF0070C0"/>
      <name val="Calibri"/>
      <charset val="134"/>
      <scheme val="minor"/>
    </font>
    <font>
      <sz val="12"/>
      <color rgb="FFFF0000"/>
      <name val="Calibri"/>
      <charset val="238"/>
      <scheme val="minor"/>
    </font>
    <font>
      <b/>
      <sz val="16"/>
      <color rgb="FFFF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rgb="FF0070C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3" tint="0.599993896298105"/>
        <bgColor rgb="FF000000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43" fontId="47" fillId="0" borderId="0" applyFont="0" applyFill="0" applyBorder="0" applyAlignment="0" applyProtection="0">
      <alignment vertical="center"/>
    </xf>
    <xf numFmtId="176" fontId="4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177" fontId="47" fillId="0" borderId="0" applyFont="0" applyFill="0" applyBorder="0" applyAlignment="0" applyProtection="0">
      <alignment vertical="center"/>
    </xf>
    <xf numFmtId="0" fontId="47" fillId="9" borderId="60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61" applyNumberFormat="0" applyFill="0" applyAlignment="0" applyProtection="0">
      <alignment vertical="center"/>
    </xf>
    <xf numFmtId="0" fontId="52" fillId="0" borderId="61" applyNumberFormat="0" applyFill="0" applyAlignment="0" applyProtection="0">
      <alignment vertical="center"/>
    </xf>
    <xf numFmtId="0" fontId="53" fillId="0" borderId="62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0" borderId="63" applyNumberFormat="0" applyAlignment="0" applyProtection="0">
      <alignment vertical="center"/>
    </xf>
    <xf numFmtId="0" fontId="55" fillId="11" borderId="64" applyNumberFormat="0" applyAlignment="0" applyProtection="0">
      <alignment vertical="center"/>
    </xf>
    <xf numFmtId="0" fontId="56" fillId="11" borderId="63" applyNumberFormat="0" applyAlignment="0" applyProtection="0">
      <alignment vertical="center"/>
    </xf>
    <xf numFmtId="0" fontId="57" fillId="12" borderId="65" applyNumberFormat="0" applyAlignment="0" applyProtection="0">
      <alignment vertical="center"/>
    </xf>
    <xf numFmtId="0" fontId="58" fillId="0" borderId="66" applyNumberFormat="0" applyFill="0" applyAlignment="0" applyProtection="0">
      <alignment vertical="center"/>
    </xf>
    <xf numFmtId="0" fontId="59" fillId="0" borderId="67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44" fillId="0" borderId="0"/>
  </cellStyleXfs>
  <cellXfs count="657">
    <xf numFmtId="0" fontId="0" fillId="0" borderId="0" xfId="0"/>
    <xf numFmtId="178" fontId="1" fillId="0" borderId="1" xfId="0" applyNumberFormat="1" applyFont="1" applyBorder="1" applyAlignment="1">
      <alignment horizontal="center"/>
    </xf>
    <xf numFmtId="178" fontId="1" fillId="0" borderId="2" xfId="0" applyNumberFormat="1" applyFont="1" applyBorder="1" applyAlignment="1">
      <alignment horizontal="center"/>
    </xf>
    <xf numFmtId="178" fontId="1" fillId="0" borderId="3" xfId="0" applyNumberFormat="1" applyFont="1" applyBorder="1" applyAlignment="1">
      <alignment horizontal="center"/>
    </xf>
    <xf numFmtId="4" fontId="0" fillId="0" borderId="0" xfId="0" applyNumberFormat="1"/>
    <xf numFmtId="178" fontId="0" fillId="0" borderId="0" xfId="0" applyNumberFormat="1"/>
    <xf numFmtId="49" fontId="2" fillId="0" borderId="0" xfId="0" applyNumberFormat="1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8" fontId="3" fillId="0" borderId="5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78" fontId="3" fillId="0" borderId="8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17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8" fontId="3" fillId="0" borderId="0" xfId="0" applyNumberFormat="1" applyFont="1"/>
    <xf numFmtId="4" fontId="3" fillId="0" borderId="0" xfId="0" applyNumberFormat="1" applyFont="1"/>
    <xf numFmtId="4" fontId="6" fillId="0" borderId="0" xfId="0" applyNumberFormat="1" applyFont="1"/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  <xf numFmtId="4" fontId="8" fillId="0" borderId="3" xfId="0" applyNumberFormat="1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4" fontId="9" fillId="0" borderId="13" xfId="0" applyNumberFormat="1" applyFont="1" applyBorder="1"/>
    <xf numFmtId="10" fontId="10" fillId="0" borderId="14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4" fontId="9" fillId="0" borderId="18" xfId="0" applyNumberFormat="1" applyFont="1" applyBorder="1"/>
    <xf numFmtId="4" fontId="9" fillId="0" borderId="19" xfId="0" applyNumberFormat="1" applyFont="1" applyBorder="1"/>
    <xf numFmtId="10" fontId="10" fillId="0" borderId="2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78" fontId="0" fillId="0" borderId="21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178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78" fontId="0" fillId="0" borderId="21" xfId="0" applyNumberFormat="1" applyBorder="1"/>
    <xf numFmtId="4" fontId="0" fillId="0" borderId="21" xfId="0" applyNumberFormat="1" applyBorder="1"/>
    <xf numFmtId="178" fontId="0" fillId="0" borderId="7" xfId="0" applyNumberFormat="1" applyBorder="1"/>
    <xf numFmtId="4" fontId="0" fillId="0" borderId="23" xfId="0" applyNumberFormat="1" applyBorder="1"/>
    <xf numFmtId="4" fontId="0" fillId="0" borderId="21" xfId="0" applyNumberFormat="1" applyFill="1" applyBorder="1"/>
    <xf numFmtId="0" fontId="11" fillId="0" borderId="24" xfId="0" applyFont="1" applyBorder="1"/>
    <xf numFmtId="0" fontId="11" fillId="0" borderId="25" xfId="0" applyFont="1" applyBorder="1" applyAlignment="1">
      <alignment horizontal="center"/>
    </xf>
    <xf numFmtId="178" fontId="11" fillId="0" borderId="25" xfId="0" applyNumberFormat="1" applyFont="1" applyBorder="1" applyAlignment="1">
      <alignment horizontal="center"/>
    </xf>
    <xf numFmtId="49" fontId="11" fillId="0" borderId="25" xfId="0" applyNumberFormat="1" applyFont="1" applyBorder="1" applyAlignment="1">
      <alignment horizontal="center"/>
    </xf>
    <xf numFmtId="4" fontId="11" fillId="0" borderId="25" xfId="0" applyNumberFormat="1" applyFont="1" applyBorder="1" applyAlignment="1">
      <alignment horizontal="center"/>
    </xf>
    <xf numFmtId="0" fontId="11" fillId="0" borderId="26" xfId="0" applyFont="1" applyBorder="1"/>
    <xf numFmtId="0" fontId="11" fillId="0" borderId="27" xfId="0" applyFont="1" applyBorder="1"/>
    <xf numFmtId="0" fontId="11" fillId="0" borderId="16" xfId="0" applyFont="1" applyBorder="1" applyAlignment="1">
      <alignment horizontal="center"/>
    </xf>
    <xf numFmtId="178" fontId="11" fillId="0" borderId="16" xfId="0" applyNumberFormat="1" applyFont="1" applyBorder="1" applyAlignment="1">
      <alignment horizontal="center"/>
    </xf>
    <xf numFmtId="49" fontId="11" fillId="0" borderId="16" xfId="0" applyNumberFormat="1" applyFont="1" applyBorder="1" applyAlignment="1">
      <alignment horizontal="center"/>
    </xf>
    <xf numFmtId="4" fontId="11" fillId="0" borderId="16" xfId="0" applyNumberFormat="1" applyFont="1" applyBorder="1" applyAlignment="1">
      <alignment horizontal="center"/>
    </xf>
    <xf numFmtId="0" fontId="11" fillId="0" borderId="28" xfId="0" applyFont="1" applyBorder="1"/>
    <xf numFmtId="0" fontId="4" fillId="0" borderId="0" xfId="0" applyFont="1"/>
    <xf numFmtId="0" fontId="12" fillId="0" borderId="0" xfId="0" applyFont="1" applyAlignment="1">
      <alignment horizontal="center"/>
    </xf>
    <xf numFmtId="178" fontId="12" fillId="0" borderId="0" xfId="0" applyNumberFormat="1" applyFont="1" applyAlignment="1">
      <alignment horizontal="center"/>
    </xf>
    <xf numFmtId="0" fontId="12" fillId="0" borderId="0" xfId="0" applyFont="1"/>
    <xf numFmtId="49" fontId="13" fillId="0" borderId="0" xfId="0" applyNumberFormat="1" applyFont="1"/>
    <xf numFmtId="178" fontId="12" fillId="0" borderId="0" xfId="0" applyNumberFormat="1" applyFont="1"/>
    <xf numFmtId="4" fontId="4" fillId="0" borderId="0" xfId="0" applyNumberFormat="1" applyFont="1"/>
    <xf numFmtId="0" fontId="14" fillId="0" borderId="24" xfId="0" applyFont="1" applyBorder="1"/>
    <xf numFmtId="0" fontId="3" fillId="0" borderId="25" xfId="0" applyFont="1" applyBorder="1" applyAlignment="1">
      <alignment horizontal="center"/>
    </xf>
    <xf numFmtId="178" fontId="3" fillId="0" borderId="25" xfId="0" applyNumberFormat="1" applyFont="1" applyBorder="1" applyAlignment="1">
      <alignment horizontal="center"/>
    </xf>
    <xf numFmtId="49" fontId="2" fillId="0" borderId="25" xfId="0" applyNumberFormat="1" applyFont="1" applyBorder="1" applyAlignment="1">
      <alignment horizontal="center"/>
    </xf>
    <xf numFmtId="4" fontId="14" fillId="0" borderId="25" xfId="0" applyNumberFormat="1" applyFont="1" applyBorder="1"/>
    <xf numFmtId="0" fontId="3" fillId="0" borderId="26" xfId="0" applyFont="1" applyBorder="1"/>
    <xf numFmtId="0" fontId="14" fillId="0" borderId="29" xfId="0" applyFont="1" applyBorder="1"/>
    <xf numFmtId="4" fontId="14" fillId="0" borderId="0" xfId="0" applyNumberFormat="1" applyFont="1"/>
    <xf numFmtId="0" fontId="3" fillId="0" borderId="30" xfId="0" applyFont="1" applyBorder="1"/>
    <xf numFmtId="0" fontId="14" fillId="0" borderId="27" xfId="0" applyFont="1" applyBorder="1"/>
    <xf numFmtId="0" fontId="3" fillId="0" borderId="16" xfId="0" applyFont="1" applyBorder="1" applyAlignment="1">
      <alignment horizontal="center"/>
    </xf>
    <xf numFmtId="178" fontId="3" fillId="0" borderId="16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" fontId="14" fillId="0" borderId="16" xfId="0" applyNumberFormat="1" applyFont="1" applyBorder="1"/>
    <xf numFmtId="0" fontId="3" fillId="0" borderId="28" xfId="0" applyFont="1" applyBorder="1"/>
    <xf numFmtId="178" fontId="3" fillId="0" borderId="25" xfId="0" applyNumberFormat="1" applyFont="1" applyBorder="1"/>
    <xf numFmtId="178" fontId="3" fillId="0" borderId="16" xfId="0" applyNumberFormat="1" applyFont="1" applyBorder="1"/>
    <xf numFmtId="0" fontId="14" fillId="0" borderId="24" xfId="0" applyFont="1" applyBorder="1" applyAlignment="1">
      <alignment horizontal="left"/>
    </xf>
    <xf numFmtId="4" fontId="14" fillId="0" borderId="25" xfId="0" applyNumberFormat="1" applyFont="1" applyBorder="1" applyAlignment="1">
      <alignment horizontal="center"/>
    </xf>
    <xf numFmtId="0" fontId="3" fillId="0" borderId="26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4" fontId="14" fillId="0" borderId="0" xfId="0" applyNumberFormat="1" applyFont="1" applyAlignment="1">
      <alignment horizontal="center"/>
    </xf>
    <xf numFmtId="0" fontId="3" fillId="0" borderId="30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4" fontId="14" fillId="0" borderId="16" xfId="0" applyNumberFormat="1" applyFont="1" applyBorder="1" applyAlignment="1">
      <alignment horizontal="center"/>
    </xf>
    <xf numFmtId="0" fontId="3" fillId="0" borderId="28" xfId="0" applyFont="1" applyBorder="1" applyAlignment="1">
      <alignment horizontal="left"/>
    </xf>
    <xf numFmtId="0" fontId="14" fillId="0" borderId="25" xfId="0" applyFont="1" applyBorder="1" applyAlignment="1">
      <alignment horizontal="center"/>
    </xf>
    <xf numFmtId="178" fontId="14" fillId="0" borderId="25" xfId="0" applyNumberFormat="1" applyFont="1" applyBorder="1" applyAlignment="1">
      <alignment horizontal="center"/>
    </xf>
    <xf numFmtId="178" fontId="14" fillId="0" borderId="25" xfId="0" applyNumberFormat="1" applyFont="1" applyBorder="1"/>
    <xf numFmtId="0" fontId="14" fillId="0" borderId="26" xfId="0" applyFont="1" applyBorder="1"/>
    <xf numFmtId="0" fontId="14" fillId="0" borderId="0" xfId="0" applyFont="1" applyAlignment="1">
      <alignment horizontal="center"/>
    </xf>
    <xf numFmtId="178" fontId="14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178" fontId="14" fillId="0" borderId="0" xfId="0" applyNumberFormat="1" applyFont="1"/>
    <xf numFmtId="0" fontId="14" fillId="0" borderId="0" xfId="0" applyFont="1"/>
    <xf numFmtId="0" fontId="4" fillId="0" borderId="24" xfId="0" applyFont="1" applyBorder="1"/>
    <xf numFmtId="4" fontId="4" fillId="0" borderId="25" xfId="0" applyNumberFormat="1" applyFont="1" applyBorder="1"/>
    <xf numFmtId="0" fontId="14" fillId="0" borderId="30" xfId="0" applyFont="1" applyBorder="1"/>
    <xf numFmtId="0" fontId="14" fillId="2" borderId="27" xfId="0" applyFont="1" applyFill="1" applyBorder="1"/>
    <xf numFmtId="0" fontId="14" fillId="2" borderId="16" xfId="0" applyFont="1" applyFill="1" applyBorder="1" applyAlignment="1">
      <alignment horizontal="center"/>
    </xf>
    <xf numFmtId="178" fontId="14" fillId="2" borderId="16" xfId="0" applyNumberFormat="1" applyFont="1" applyFill="1" applyBorder="1" applyAlignment="1">
      <alignment horizontal="center"/>
    </xf>
    <xf numFmtId="49" fontId="11" fillId="2" borderId="16" xfId="0" applyNumberFormat="1" applyFont="1" applyFill="1" applyBorder="1" applyAlignment="1">
      <alignment horizontal="center"/>
    </xf>
    <xf numFmtId="178" fontId="14" fillId="2" borderId="16" xfId="0" applyNumberFormat="1" applyFont="1" applyFill="1" applyBorder="1"/>
    <xf numFmtId="4" fontId="14" fillId="2" borderId="16" xfId="0" applyNumberFormat="1" applyFont="1" applyFill="1" applyBorder="1"/>
    <xf numFmtId="0" fontId="14" fillId="2" borderId="28" xfId="0" applyFont="1" applyFill="1" applyBorder="1"/>
    <xf numFmtId="10" fontId="15" fillId="0" borderId="31" xfId="0" applyNumberFormat="1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58" fontId="9" fillId="0" borderId="33" xfId="0" applyNumberFormat="1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10" fontId="15" fillId="0" borderId="20" xfId="0" applyNumberFormat="1" applyFont="1" applyBorder="1" applyAlignment="1">
      <alignment horizontal="center"/>
    </xf>
    <xf numFmtId="0" fontId="16" fillId="3" borderId="0" xfId="0" applyFont="1" applyFill="1"/>
    <xf numFmtId="178" fontId="16" fillId="0" borderId="0" xfId="0" applyNumberFormat="1" applyFont="1" applyAlignment="1">
      <alignment horizontal="center"/>
    </xf>
    <xf numFmtId="0" fontId="16" fillId="0" borderId="0" xfId="0" applyFont="1"/>
    <xf numFmtId="178" fontId="17" fillId="0" borderId="0" xfId="0" applyNumberFormat="1" applyFont="1"/>
    <xf numFmtId="49" fontId="17" fillId="0" borderId="0" xfId="0" applyNumberFormat="1" applyFont="1"/>
    <xf numFmtId="178" fontId="0" fillId="0" borderId="27" xfId="0" applyNumberFormat="1" applyBorder="1" applyAlignment="1">
      <alignment horizontal="center"/>
    </xf>
    <xf numFmtId="4" fontId="0" fillId="0" borderId="22" xfId="0" applyNumberFormat="1" applyBorder="1"/>
    <xf numFmtId="0" fontId="0" fillId="0" borderId="21" xfId="0" applyBorder="1"/>
    <xf numFmtId="178" fontId="0" fillId="0" borderId="7" xfId="0" applyNumberFormat="1" applyBorder="1" applyAlignment="1">
      <alignment horizontal="center"/>
    </xf>
    <xf numFmtId="4" fontId="0" fillId="0" borderId="21" xfId="0" applyNumberFormat="1" applyBorder="1" applyAlignment="1">
      <alignment horizontal="right"/>
    </xf>
    <xf numFmtId="178" fontId="0" fillId="0" borderId="0" xfId="0" applyNumberFormat="1" applyAlignment="1">
      <alignment horizontal="center"/>
    </xf>
    <xf numFmtId="0" fontId="3" fillId="0" borderId="35" xfId="0" applyFont="1" applyBorder="1"/>
    <xf numFmtId="0" fontId="3" fillId="0" borderId="36" xfId="0" applyFont="1" applyBorder="1" applyAlignment="1">
      <alignment horizontal="center"/>
    </xf>
    <xf numFmtId="178" fontId="3" fillId="0" borderId="36" xfId="0" applyNumberFormat="1" applyFont="1" applyBorder="1" applyAlignment="1">
      <alignment horizontal="center"/>
    </xf>
    <xf numFmtId="0" fontId="3" fillId="0" borderId="36" xfId="0" applyFont="1" applyBorder="1"/>
    <xf numFmtId="49" fontId="2" fillId="0" borderId="36" xfId="0" applyNumberFormat="1" applyFont="1" applyBorder="1"/>
    <xf numFmtId="178" fontId="3" fillId="0" borderId="36" xfId="0" applyNumberFormat="1" applyFont="1" applyBorder="1"/>
    <xf numFmtId="4" fontId="3" fillId="0" borderId="36" xfId="0" applyNumberFormat="1" applyFont="1" applyBorder="1"/>
    <xf numFmtId="0" fontId="3" fillId="0" borderId="37" xfId="0" applyFont="1" applyBorder="1"/>
    <xf numFmtId="58" fontId="0" fillId="0" borderId="0" xfId="0" applyNumberFormat="1"/>
    <xf numFmtId="0" fontId="11" fillId="0" borderId="7" xfId="0" applyFont="1" applyBorder="1"/>
    <xf numFmtId="0" fontId="2" fillId="0" borderId="8" xfId="0" applyFont="1" applyBorder="1" applyAlignment="1">
      <alignment horizontal="center"/>
    </xf>
    <xf numFmtId="178" fontId="2" fillId="0" borderId="8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0" fontId="2" fillId="0" borderId="9" xfId="0" applyFont="1" applyBorder="1"/>
    <xf numFmtId="0" fontId="14" fillId="0" borderId="16" xfId="0" applyFont="1" applyBorder="1" applyAlignment="1">
      <alignment horizontal="center"/>
    </xf>
    <xf numFmtId="178" fontId="14" fillId="0" borderId="16" xfId="0" applyNumberFormat="1" applyFont="1" applyBorder="1" applyAlignment="1">
      <alignment horizontal="center"/>
    </xf>
    <xf numFmtId="178" fontId="14" fillId="0" borderId="16" xfId="0" applyNumberFormat="1" applyFont="1" applyBorder="1"/>
    <xf numFmtId="0" fontId="14" fillId="0" borderId="28" xfId="0" applyFont="1" applyBorder="1"/>
    <xf numFmtId="4" fontId="9" fillId="0" borderId="10" xfId="0" applyNumberFormat="1" applyFont="1" applyBorder="1"/>
    <xf numFmtId="10" fontId="10" fillId="0" borderId="38" xfId="0" applyNumberFormat="1" applyFont="1" applyBorder="1" applyAlignment="1">
      <alignment horizontal="center"/>
    </xf>
    <xf numFmtId="4" fontId="9" fillId="0" borderId="15" xfId="0" applyNumberFormat="1" applyFont="1" applyBorder="1"/>
    <xf numFmtId="10" fontId="10" fillId="0" borderId="39" xfId="0" applyNumberFormat="1" applyFont="1" applyBorder="1" applyAlignment="1">
      <alignment horizontal="center"/>
    </xf>
    <xf numFmtId="4" fontId="9" fillId="0" borderId="32" xfId="0" applyNumberFormat="1" applyFont="1" applyBorder="1"/>
    <xf numFmtId="10" fontId="10" fillId="0" borderId="40" xfId="0" applyNumberFormat="1" applyFont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178" fontId="2" fillId="0" borderId="0" xfId="0" applyNumberFormat="1" applyFont="1"/>
    <xf numFmtId="4" fontId="2" fillId="0" borderId="0" xfId="0" applyNumberFormat="1" applyFont="1"/>
    <xf numFmtId="178" fontId="1" fillId="4" borderId="1" xfId="0" applyNumberFormat="1" applyFont="1" applyFill="1" applyBorder="1" applyAlignment="1">
      <alignment horizontal="center"/>
    </xf>
    <xf numFmtId="178" fontId="1" fillId="4" borderId="2" xfId="0" applyNumberFormat="1" applyFont="1" applyFill="1" applyBorder="1" applyAlignment="1">
      <alignment horizontal="center"/>
    </xf>
    <xf numFmtId="178" fontId="1" fillId="4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178" fontId="2" fillId="0" borderId="5" xfId="0" applyNumberFormat="1" applyFont="1" applyBorder="1" applyAlignment="1">
      <alignment horizontal="center"/>
    </xf>
    <xf numFmtId="49" fontId="2" fillId="0" borderId="5" xfId="0" applyNumberFormat="1" applyFont="1" applyBorder="1"/>
    <xf numFmtId="178" fontId="2" fillId="0" borderId="5" xfId="0" applyNumberFormat="1" applyFont="1" applyBorder="1"/>
    <xf numFmtId="4" fontId="2" fillId="0" borderId="5" xfId="0" applyNumberFormat="1" applyFont="1" applyBorder="1"/>
    <xf numFmtId="0" fontId="2" fillId="0" borderId="6" xfId="0" applyFont="1" applyBorder="1"/>
    <xf numFmtId="0" fontId="18" fillId="0" borderId="7" xfId="0" applyFont="1" applyBorder="1"/>
    <xf numFmtId="0" fontId="2" fillId="0" borderId="8" xfId="0" applyFont="1" applyBorder="1"/>
    <xf numFmtId="49" fontId="2" fillId="0" borderId="8" xfId="0" applyNumberFormat="1" applyFont="1" applyBorder="1"/>
    <xf numFmtId="178" fontId="2" fillId="0" borderId="8" xfId="0" applyNumberFormat="1" applyFont="1" applyBorder="1"/>
    <xf numFmtId="4" fontId="19" fillId="0" borderId="8" xfId="0" applyNumberFormat="1" applyFont="1" applyBorder="1"/>
    <xf numFmtId="0" fontId="19" fillId="0" borderId="7" xfId="0" applyFont="1" applyBorder="1"/>
    <xf numFmtId="0" fontId="2" fillId="5" borderId="29" xfId="0" applyFont="1" applyFill="1" applyBorder="1"/>
    <xf numFmtId="0" fontId="2" fillId="5" borderId="0" xfId="0" applyFont="1" applyFill="1" applyAlignment="1">
      <alignment horizontal="center"/>
    </xf>
    <xf numFmtId="178" fontId="20" fillId="5" borderId="0" xfId="0" applyNumberFormat="1" applyFont="1" applyFill="1" applyAlignment="1">
      <alignment horizontal="center"/>
    </xf>
    <xf numFmtId="4" fontId="2" fillId="5" borderId="0" xfId="0" applyNumberFormat="1" applyFont="1" applyFill="1" applyAlignment="1">
      <alignment horizontal="center"/>
    </xf>
    <xf numFmtId="0" fontId="2" fillId="5" borderId="30" xfId="0" applyFont="1" applyFill="1" applyBorder="1"/>
    <xf numFmtId="178" fontId="2" fillId="5" borderId="0" xfId="0" applyNumberFormat="1" applyFont="1" applyFill="1" applyAlignment="1">
      <alignment horizontal="center"/>
    </xf>
    <xf numFmtId="0" fontId="2" fillId="5" borderId="27" xfId="0" applyFont="1" applyFill="1" applyBorder="1"/>
    <xf numFmtId="0" fontId="2" fillId="0" borderId="16" xfId="0" applyFont="1" applyBorder="1"/>
    <xf numFmtId="178" fontId="2" fillId="0" borderId="16" xfId="0" applyNumberFormat="1" applyFont="1" applyBorder="1"/>
    <xf numFmtId="0" fontId="2" fillId="5" borderId="16" xfId="0" applyFont="1" applyFill="1" applyBorder="1" applyAlignment="1">
      <alignment horizontal="center"/>
    </xf>
    <xf numFmtId="178" fontId="2" fillId="5" borderId="16" xfId="0" applyNumberFormat="1" applyFont="1" applyFill="1" applyBorder="1" applyAlignment="1">
      <alignment horizontal="center"/>
    </xf>
    <xf numFmtId="4" fontId="2" fillId="5" borderId="16" xfId="0" applyNumberFormat="1" applyFont="1" applyFill="1" applyBorder="1" applyAlignment="1">
      <alignment horizontal="center"/>
    </xf>
    <xf numFmtId="0" fontId="2" fillId="5" borderId="28" xfId="0" applyFont="1" applyFill="1" applyBorder="1"/>
    <xf numFmtId="0" fontId="5" fillId="5" borderId="0" xfId="0" applyFont="1" applyFill="1"/>
    <xf numFmtId="4" fontId="5" fillId="5" borderId="0" xfId="0" applyNumberFormat="1" applyFont="1" applyFill="1" applyAlignment="1">
      <alignment horizontal="center"/>
    </xf>
    <xf numFmtId="0" fontId="2" fillId="5" borderId="0" xfId="0" applyFont="1" applyFill="1"/>
    <xf numFmtId="0" fontId="2" fillId="6" borderId="24" xfId="0" applyFont="1" applyFill="1" applyBorder="1"/>
    <xf numFmtId="0" fontId="2" fillId="0" borderId="25" xfId="0" applyFont="1" applyBorder="1"/>
    <xf numFmtId="178" fontId="2" fillId="0" borderId="25" xfId="0" applyNumberFormat="1" applyFont="1" applyBorder="1"/>
    <xf numFmtId="0" fontId="2" fillId="5" borderId="25" xfId="0" applyFont="1" applyFill="1" applyBorder="1" applyAlignment="1">
      <alignment horizontal="center"/>
    </xf>
    <xf numFmtId="4" fontId="2" fillId="5" borderId="25" xfId="0" applyNumberFormat="1" applyFont="1" applyFill="1" applyBorder="1" applyAlignment="1">
      <alignment horizontal="center"/>
    </xf>
    <xf numFmtId="0" fontId="2" fillId="5" borderId="26" xfId="0" applyFont="1" applyFill="1" applyBorder="1"/>
    <xf numFmtId="0" fontId="2" fillId="6" borderId="29" xfId="0" applyFont="1" applyFill="1" applyBorder="1"/>
    <xf numFmtId="0" fontId="2" fillId="6" borderId="27" xfId="0" applyFont="1" applyFill="1" applyBorder="1"/>
    <xf numFmtId="0" fontId="5" fillId="6" borderId="0" xfId="0" applyFont="1" applyFill="1"/>
    <xf numFmtId="0" fontId="5" fillId="0" borderId="7" xfId="0" applyFont="1" applyBorder="1"/>
    <xf numFmtId="4" fontId="5" fillId="0" borderId="8" xfId="0" applyNumberFormat="1" applyFont="1" applyBorder="1" applyAlignment="1">
      <alignment horizontal="right"/>
    </xf>
    <xf numFmtId="4" fontId="5" fillId="0" borderId="8" xfId="0" applyNumberFormat="1" applyFont="1" applyBorder="1"/>
    <xf numFmtId="0" fontId="2" fillId="0" borderId="24" xfId="0" applyFont="1" applyBorder="1"/>
    <xf numFmtId="4" fontId="2" fillId="0" borderId="25" xfId="0" applyNumberFormat="1" applyFont="1" applyBorder="1"/>
    <xf numFmtId="0" fontId="2" fillId="0" borderId="26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27" xfId="0" applyFont="1" applyBorder="1"/>
    <xf numFmtId="4" fontId="2" fillId="0" borderId="16" xfId="0" applyNumberFormat="1" applyFont="1" applyBorder="1"/>
    <xf numFmtId="0" fontId="2" fillId="0" borderId="28" xfId="0" applyFont="1" applyBorder="1"/>
    <xf numFmtId="4" fontId="5" fillId="0" borderId="0" xfId="0" applyNumberFormat="1" applyFont="1"/>
    <xf numFmtId="0" fontId="5" fillId="0" borderId="24" xfId="0" applyFont="1" applyBorder="1"/>
    <xf numFmtId="4" fontId="5" fillId="0" borderId="25" xfId="0" applyNumberFormat="1" applyFont="1" applyBorder="1"/>
    <xf numFmtId="4" fontId="11" fillId="0" borderId="25" xfId="0" applyNumberFormat="1" applyFont="1" applyBorder="1"/>
    <xf numFmtId="4" fontId="11" fillId="0" borderId="16" xfId="0" applyNumberFormat="1" applyFont="1" applyBorder="1"/>
    <xf numFmtId="0" fontId="11" fillId="0" borderId="29" xfId="0" applyFont="1" applyBorder="1"/>
    <xf numFmtId="4" fontId="11" fillId="0" borderId="0" xfId="0" applyNumberFormat="1" applyFont="1"/>
    <xf numFmtId="178" fontId="2" fillId="0" borderId="16" xfId="0" applyNumberFormat="1" applyFont="1" applyBorder="1" applyAlignment="1">
      <alignment horizontal="right"/>
    </xf>
    <xf numFmtId="4" fontId="11" fillId="0" borderId="8" xfId="0" applyNumberFormat="1" applyFont="1" applyBorder="1"/>
    <xf numFmtId="0" fontId="5" fillId="0" borderId="29" xfId="0" applyFont="1" applyBorder="1"/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1" fillId="0" borderId="24" xfId="0" applyFont="1" applyBorder="1"/>
    <xf numFmtId="4" fontId="21" fillId="0" borderId="25" xfId="0" applyNumberFormat="1" applyFont="1" applyBorder="1"/>
    <xf numFmtId="0" fontId="21" fillId="0" borderId="27" xfId="0" applyFont="1" applyBorder="1"/>
    <xf numFmtId="4" fontId="21" fillId="0" borderId="16" xfId="0" applyNumberFormat="1" applyFont="1" applyBorder="1"/>
    <xf numFmtId="49" fontId="2" fillId="0" borderId="25" xfId="0" applyNumberFormat="1" applyFont="1" applyBorder="1"/>
    <xf numFmtId="0" fontId="2" fillId="0" borderId="7" xfId="0" applyFont="1" applyFill="1" applyBorder="1"/>
    <xf numFmtId="0" fontId="2" fillId="0" borderId="8" xfId="0" applyFont="1" applyFill="1" applyBorder="1"/>
    <xf numFmtId="178" fontId="2" fillId="0" borderId="8" xfId="0" applyNumberFormat="1" applyFont="1" applyFill="1" applyBorder="1"/>
    <xf numFmtId="4" fontId="2" fillId="0" borderId="8" xfId="0" applyNumberFormat="1" applyFont="1" applyFill="1" applyBorder="1"/>
    <xf numFmtId="0" fontId="2" fillId="0" borderId="9" xfId="0" applyFont="1" applyFill="1" applyBorder="1"/>
    <xf numFmtId="0" fontId="5" fillId="0" borderId="0" xfId="0" applyFont="1" applyFill="1"/>
    <xf numFmtId="0" fontId="2" fillId="0" borderId="0" xfId="0" applyFont="1" applyFill="1"/>
    <xf numFmtId="178" fontId="2" fillId="0" borderId="0" xfId="0" applyNumberFormat="1" applyFont="1" applyFill="1"/>
    <xf numFmtId="4" fontId="5" fillId="0" borderId="0" xfId="0" applyNumberFormat="1" applyFont="1" applyFill="1"/>
    <xf numFmtId="0" fontId="5" fillId="0" borderId="7" xfId="0" applyFont="1" applyFill="1" applyBorder="1"/>
    <xf numFmtId="4" fontId="5" fillId="0" borderId="8" xfId="0" applyNumberFormat="1" applyFont="1" applyFill="1" applyBorder="1"/>
    <xf numFmtId="4" fontId="19" fillId="0" borderId="0" xfId="0" applyNumberFormat="1" applyFont="1"/>
    <xf numFmtId="0" fontId="9" fillId="0" borderId="41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4" fontId="9" fillId="0" borderId="4" xfId="0" applyNumberFormat="1" applyFont="1" applyBorder="1"/>
    <xf numFmtId="10" fontId="15" fillId="0" borderId="6" xfId="0" applyNumberFormat="1" applyFont="1" applyBorder="1" applyAlignment="1">
      <alignment horizontal="center"/>
    </xf>
    <xf numFmtId="0" fontId="9" fillId="0" borderId="43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4" fontId="9" fillId="0" borderId="44" xfId="0" applyNumberFormat="1" applyFont="1" applyBorder="1"/>
    <xf numFmtId="10" fontId="15" fillId="0" borderId="39" xfId="0" applyNumberFormat="1" applyFont="1" applyBorder="1" applyAlignment="1">
      <alignment horizontal="center"/>
    </xf>
    <xf numFmtId="16" fontId="9" fillId="0" borderId="33" xfId="0" applyNumberFormat="1" applyFont="1" applyBorder="1" applyAlignment="1">
      <alignment horizontal="left"/>
    </xf>
    <xf numFmtId="4" fontId="9" fillId="0" borderId="45" xfId="0" applyNumberFormat="1" applyFont="1" applyBorder="1"/>
    <xf numFmtId="10" fontId="15" fillId="0" borderId="46" xfId="0" applyNumberFormat="1" applyFont="1" applyBorder="1" applyAlignment="1">
      <alignment horizontal="center"/>
    </xf>
    <xf numFmtId="0" fontId="16" fillId="7" borderId="0" xfId="0" applyFont="1" applyFill="1"/>
    <xf numFmtId="178" fontId="17" fillId="0" borderId="0" xfId="0" applyNumberFormat="1" applyFont="1" applyAlignment="1">
      <alignment horizontal="center"/>
    </xf>
    <xf numFmtId="178" fontId="6" fillId="0" borderId="0" xfId="0" applyNumberFormat="1" applyFont="1" applyAlignment="1">
      <alignment horizontal="center"/>
    </xf>
    <xf numFmtId="178" fontId="2" fillId="0" borderId="21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78" fontId="3" fillId="0" borderId="5" xfId="0" applyNumberFormat="1" applyFont="1" applyBorder="1"/>
    <xf numFmtId="4" fontId="3" fillId="0" borderId="5" xfId="0" applyNumberFormat="1" applyFont="1" applyBorder="1"/>
    <xf numFmtId="0" fontId="3" fillId="0" borderId="6" xfId="0" applyFont="1" applyBorder="1"/>
    <xf numFmtId="0" fontId="17" fillId="0" borderId="24" xfId="0" applyFont="1" applyBorder="1"/>
    <xf numFmtId="0" fontId="16" fillId="0" borderId="25" xfId="0" applyFont="1" applyBorder="1"/>
    <xf numFmtId="178" fontId="16" fillId="0" borderId="25" xfId="0" applyNumberFormat="1" applyFont="1" applyBorder="1" applyAlignment="1">
      <alignment horizontal="center"/>
    </xf>
    <xf numFmtId="49" fontId="16" fillId="0" borderId="25" xfId="0" applyNumberFormat="1" applyFont="1" applyBorder="1"/>
    <xf numFmtId="178" fontId="16" fillId="0" borderId="25" xfId="0" applyNumberFormat="1" applyFont="1" applyBorder="1"/>
    <xf numFmtId="0" fontId="16" fillId="0" borderId="26" xfId="0" applyFont="1" applyBorder="1"/>
    <xf numFmtId="0" fontId="3" fillId="0" borderId="25" xfId="0" applyFont="1" applyBorder="1"/>
    <xf numFmtId="0" fontId="0" fillId="0" borderId="30" xfId="0" applyBorder="1"/>
    <xf numFmtId="0" fontId="3" fillId="0" borderId="16" xfId="0" applyFont="1" applyBorder="1"/>
    <xf numFmtId="49" fontId="2" fillId="0" borderId="16" xfId="0" applyNumberFormat="1" applyFont="1" applyBorder="1"/>
    <xf numFmtId="0" fontId="0" fillId="0" borderId="28" xfId="0" applyBorder="1"/>
    <xf numFmtId="0" fontId="14" fillId="0" borderId="25" xfId="0" applyFont="1" applyBorder="1"/>
    <xf numFmtId="49" fontId="11" fillId="0" borderId="25" xfId="0" applyNumberFormat="1" applyFont="1" applyBorder="1"/>
    <xf numFmtId="0" fontId="14" fillId="0" borderId="16" xfId="0" applyFont="1" applyBorder="1"/>
    <xf numFmtId="49" fontId="11" fillId="0" borderId="16" xfId="0" applyNumberFormat="1" applyFont="1" applyBorder="1"/>
    <xf numFmtId="0" fontId="3" fillId="0" borderId="0" xfId="0" applyFont="1" applyBorder="1"/>
    <xf numFmtId="178" fontId="3" fillId="0" borderId="0" xfId="0" applyNumberFormat="1" applyFont="1" applyBorder="1" applyAlignment="1">
      <alignment horizontal="center"/>
    </xf>
    <xf numFmtId="49" fontId="2" fillId="0" borderId="0" xfId="0" applyNumberFormat="1" applyFont="1" applyBorder="1"/>
    <xf numFmtId="178" fontId="3" fillId="0" borderId="0" xfId="0" applyNumberFormat="1" applyFont="1" applyBorder="1"/>
    <xf numFmtId="4" fontId="14" fillId="0" borderId="0" xfId="0" applyNumberFormat="1" applyFont="1" applyBorder="1"/>
    <xf numFmtId="4" fontId="14" fillId="0" borderId="25" xfId="0" applyNumberFormat="1" applyFont="1" applyBorder="1" applyAlignment="1">
      <alignment horizontal="right"/>
    </xf>
    <xf numFmtId="0" fontId="3" fillId="0" borderId="26" xfId="0" applyFont="1" applyBorder="1" applyAlignment="1">
      <alignment horizontal="center"/>
    </xf>
    <xf numFmtId="4" fontId="14" fillId="0" borderId="16" xfId="0" applyNumberFormat="1" applyFont="1" applyBorder="1" applyAlignment="1">
      <alignment horizontal="right"/>
    </xf>
    <xf numFmtId="0" fontId="3" fillId="0" borderId="28" xfId="0" applyFont="1" applyBorder="1" applyAlignment="1">
      <alignment horizontal="center"/>
    </xf>
    <xf numFmtId="178" fontId="2" fillId="0" borderId="25" xfId="0" applyNumberFormat="1" applyFont="1" applyBorder="1" applyAlignment="1">
      <alignment horizontal="center"/>
    </xf>
    <xf numFmtId="4" fontId="2" fillId="0" borderId="25" xfId="0" applyNumberFormat="1" applyFont="1" applyBorder="1" applyAlignment="1">
      <alignment horizontal="right" indent="1"/>
    </xf>
    <xf numFmtId="178" fontId="2" fillId="0" borderId="16" xfId="0" applyNumberFormat="1" applyFont="1" applyBorder="1" applyAlignment="1">
      <alignment horizontal="center"/>
    </xf>
    <xf numFmtId="4" fontId="2" fillId="0" borderId="16" xfId="0" applyNumberFormat="1" applyFont="1" applyBorder="1" applyAlignment="1">
      <alignment horizontal="right" indent="1"/>
    </xf>
    <xf numFmtId="4" fontId="5" fillId="0" borderId="0" xfId="0" applyNumberFormat="1" applyFont="1" applyAlignment="1">
      <alignment horizontal="right" indent="1"/>
    </xf>
    <xf numFmtId="0" fontId="21" fillId="0" borderId="25" xfId="0" applyFont="1" applyBorder="1" applyAlignment="1">
      <alignment horizontal="center"/>
    </xf>
    <xf numFmtId="178" fontId="21" fillId="0" borderId="25" xfId="0" applyNumberFormat="1" applyFont="1" applyBorder="1" applyAlignment="1">
      <alignment horizontal="center"/>
    </xf>
    <xf numFmtId="49" fontId="21" fillId="0" borderId="25" xfId="0" applyNumberFormat="1" applyFont="1" applyBorder="1" applyAlignment="1">
      <alignment horizontal="center"/>
    </xf>
    <xf numFmtId="4" fontId="21" fillId="0" borderId="25" xfId="0" applyNumberFormat="1" applyFont="1" applyBorder="1" applyAlignment="1">
      <alignment horizontal="right" indent="1"/>
    </xf>
    <xf numFmtId="0" fontId="21" fillId="0" borderId="26" xfId="0" applyFont="1" applyBorder="1"/>
    <xf numFmtId="0" fontId="21" fillId="0" borderId="29" xfId="0" applyFont="1" applyBorder="1"/>
    <xf numFmtId="0" fontId="21" fillId="0" borderId="0" xfId="0" applyFont="1" applyAlignment="1">
      <alignment horizontal="center"/>
    </xf>
    <xf numFmtId="178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right" indent="1"/>
    </xf>
    <xf numFmtId="0" fontId="21" fillId="0" borderId="30" xfId="0" applyFont="1" applyBorder="1"/>
    <xf numFmtId="0" fontId="21" fillId="0" borderId="16" xfId="0" applyFont="1" applyBorder="1" applyAlignment="1">
      <alignment horizontal="center"/>
    </xf>
    <xf numFmtId="178" fontId="21" fillId="0" borderId="16" xfId="0" applyNumberFormat="1" applyFont="1" applyBorder="1" applyAlignment="1">
      <alignment horizontal="center"/>
    </xf>
    <xf numFmtId="49" fontId="21" fillId="0" borderId="16" xfId="0" applyNumberFormat="1" applyFont="1" applyBorder="1" applyAlignment="1">
      <alignment horizontal="center"/>
    </xf>
    <xf numFmtId="4" fontId="21" fillId="0" borderId="16" xfId="0" applyNumberFormat="1" applyFont="1" applyBorder="1" applyAlignment="1">
      <alignment horizontal="right" indent="1"/>
    </xf>
    <xf numFmtId="0" fontId="21" fillId="0" borderId="28" xfId="0" applyFont="1" applyBorder="1"/>
    <xf numFmtId="0" fontId="21" fillId="0" borderId="0" xfId="0" applyFont="1"/>
    <xf numFmtId="4" fontId="11" fillId="0" borderId="25" xfId="0" applyNumberFormat="1" applyFont="1" applyBorder="1" applyAlignment="1">
      <alignment horizontal="right" indent="1"/>
    </xf>
    <xf numFmtId="0" fontId="11" fillId="2" borderId="27" xfId="0" applyFont="1" applyFill="1" applyBorder="1"/>
    <xf numFmtId="0" fontId="2" fillId="2" borderId="16" xfId="0" applyFont="1" applyFill="1" applyBorder="1" applyAlignment="1">
      <alignment horizontal="center"/>
    </xf>
    <xf numFmtId="178" fontId="2" fillId="2" borderId="16" xfId="0" applyNumberFormat="1" applyFont="1" applyFill="1" applyBorder="1" applyAlignment="1">
      <alignment horizontal="center"/>
    </xf>
    <xf numFmtId="49" fontId="2" fillId="2" borderId="16" xfId="0" applyNumberFormat="1" applyFont="1" applyFill="1" applyBorder="1" applyAlignment="1">
      <alignment horizontal="center"/>
    </xf>
    <xf numFmtId="4" fontId="11" fillId="2" borderId="16" xfId="0" applyNumberFormat="1" applyFont="1" applyFill="1" applyBorder="1" applyAlignment="1">
      <alignment horizontal="right" indent="1"/>
    </xf>
    <xf numFmtId="0" fontId="2" fillId="2" borderId="28" xfId="0" applyFont="1" applyFill="1" applyBorder="1"/>
    <xf numFmtId="0" fontId="6" fillId="0" borderId="0" xfId="0" applyFont="1"/>
    <xf numFmtId="0" fontId="7" fillId="0" borderId="0" xfId="0" applyFont="1" applyAlignment="1">
      <alignment horizontal="left"/>
    </xf>
    <xf numFmtId="0" fontId="9" fillId="0" borderId="47" xfId="0" applyFont="1" applyBorder="1" applyAlignment="1">
      <alignment horizontal="left"/>
    </xf>
    <xf numFmtId="0" fontId="9" fillId="0" borderId="48" xfId="0" applyFont="1" applyBorder="1" applyAlignment="1">
      <alignment horizontal="left"/>
    </xf>
    <xf numFmtId="4" fontId="9" fillId="0" borderId="12" xfId="0" applyNumberFormat="1" applyFont="1" applyBorder="1"/>
    <xf numFmtId="0" fontId="9" fillId="0" borderId="44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4" fontId="9" fillId="0" borderId="16" xfId="0" applyNumberFormat="1" applyFont="1" applyBorder="1"/>
    <xf numFmtId="0" fontId="9" fillId="0" borderId="49" xfId="0" applyFont="1" applyBorder="1" applyAlignment="1">
      <alignment horizontal="left"/>
    </xf>
    <xf numFmtId="0" fontId="9" fillId="0" borderId="50" xfId="0" applyFont="1" applyBorder="1" applyAlignment="1">
      <alignment horizontal="left"/>
    </xf>
    <xf numFmtId="0" fontId="0" fillId="0" borderId="50" xfId="0" applyBorder="1"/>
    <xf numFmtId="4" fontId="9" fillId="0" borderId="34" xfId="0" applyNumberFormat="1" applyFont="1" applyBorder="1"/>
    <xf numFmtId="10" fontId="10" fillId="0" borderId="19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4" fontId="9" fillId="0" borderId="0" xfId="0" applyNumberFormat="1" applyFont="1"/>
    <xf numFmtId="10" fontId="15" fillId="0" borderId="0" xfId="0" applyNumberFormat="1" applyFont="1" applyAlignment="1">
      <alignment horizontal="center"/>
    </xf>
    <xf numFmtId="0" fontId="22" fillId="0" borderId="0" xfId="0" applyFont="1"/>
    <xf numFmtId="4" fontId="0" fillId="0" borderId="7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178" fontId="0" fillId="0" borderId="21" xfId="0" applyNumberFormat="1" applyBorder="1" applyAlignment="1">
      <alignment horizontal="right"/>
    </xf>
    <xf numFmtId="58" fontId="0" fillId="0" borderId="2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" fontId="2" fillId="0" borderId="25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4" fontId="5" fillId="0" borderId="8" xfId="0" applyNumberFormat="1" applyFont="1" applyBorder="1" applyAlignment="1">
      <alignment horizontal="center"/>
    </xf>
    <xf numFmtId="4" fontId="5" fillId="0" borderId="25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78" fontId="11" fillId="0" borderId="0" xfId="0" applyNumberFormat="1" applyFont="1" applyAlignment="1">
      <alignment horizontal="center"/>
    </xf>
    <xf numFmtId="0" fontId="11" fillId="0" borderId="30" xfId="0" applyFont="1" applyBorder="1"/>
    <xf numFmtId="0" fontId="11" fillId="0" borderId="27" xfId="0" applyFont="1" applyFill="1" applyBorder="1"/>
    <xf numFmtId="0" fontId="2" fillId="0" borderId="16" xfId="0" applyFont="1" applyFill="1" applyBorder="1" applyAlignment="1">
      <alignment horizontal="center"/>
    </xf>
    <xf numFmtId="178" fontId="2" fillId="0" borderId="16" xfId="0" applyNumberFormat="1" applyFont="1" applyFill="1" applyBorder="1" applyAlignment="1">
      <alignment horizontal="center"/>
    </xf>
    <xf numFmtId="49" fontId="2" fillId="0" borderId="16" xfId="0" applyNumberFormat="1" applyFont="1" applyFill="1" applyBorder="1" applyAlignment="1">
      <alignment horizontal="center"/>
    </xf>
    <xf numFmtId="4" fontId="11" fillId="0" borderId="16" xfId="0" applyNumberFormat="1" applyFont="1" applyFill="1" applyBorder="1" applyAlignment="1">
      <alignment horizontal="center"/>
    </xf>
    <xf numFmtId="0" fontId="2" fillId="0" borderId="28" xfId="0" applyFont="1" applyFill="1" applyBorder="1"/>
    <xf numFmtId="0" fontId="5" fillId="2" borderId="7" xfId="0" applyFont="1" applyFill="1" applyBorder="1"/>
    <xf numFmtId="0" fontId="2" fillId="2" borderId="8" xfId="0" applyFont="1" applyFill="1" applyBorder="1" applyAlignment="1">
      <alignment horizontal="center"/>
    </xf>
    <xf numFmtId="178" fontId="2" fillId="2" borderId="8" xfId="0" applyNumberFormat="1" applyFont="1" applyFill="1" applyBorder="1" applyAlignment="1">
      <alignment horizontal="center"/>
    </xf>
    <xf numFmtId="49" fontId="2" fillId="2" borderId="8" xfId="0" applyNumberFormat="1" applyFont="1" applyFill="1" applyBorder="1" applyAlignment="1">
      <alignment horizontal="center"/>
    </xf>
    <xf numFmtId="4" fontId="5" fillId="2" borderId="8" xfId="0" applyNumberFormat="1" applyFont="1" applyFill="1" applyBorder="1" applyAlignment="1">
      <alignment horizontal="center"/>
    </xf>
    <xf numFmtId="0" fontId="2" fillId="2" borderId="9" xfId="0" applyFont="1" applyFill="1" applyBorder="1"/>
    <xf numFmtId="0" fontId="18" fillId="0" borderId="0" xfId="0" applyFont="1"/>
    <xf numFmtId="4" fontId="19" fillId="0" borderId="0" xfId="0" applyNumberFormat="1" applyFont="1" applyAlignment="1">
      <alignment horizontal="center"/>
    </xf>
    <xf numFmtId="10" fontId="15" fillId="0" borderId="13" xfId="0" applyNumberFormat="1" applyFont="1" applyBorder="1" applyAlignment="1">
      <alignment horizontal="center"/>
    </xf>
    <xf numFmtId="10" fontId="15" fillId="0" borderId="51" xfId="0" applyNumberFormat="1" applyFont="1" applyBorder="1" applyAlignment="1">
      <alignment horizontal="center"/>
    </xf>
    <xf numFmtId="10" fontId="10" fillId="0" borderId="52" xfId="0" applyNumberFormat="1" applyFont="1" applyBorder="1" applyAlignment="1">
      <alignment horizontal="center"/>
    </xf>
    <xf numFmtId="0" fontId="0" fillId="4" borderId="1" xfId="0" applyFill="1" applyBorder="1"/>
    <xf numFmtId="4" fontId="0" fillId="4" borderId="3" xfId="0" applyNumberFormat="1" applyFill="1" applyBorder="1"/>
    <xf numFmtId="49" fontId="2" fillId="0" borderId="36" xfId="0" applyNumberFormat="1" applyFont="1" applyBorder="1" applyAlignment="1">
      <alignment horizontal="center"/>
    </xf>
    <xf numFmtId="0" fontId="5" fillId="0" borderId="27" xfId="0" applyFont="1" applyBorder="1"/>
    <xf numFmtId="4" fontId="4" fillId="0" borderId="16" xfId="0" applyNumberFormat="1" applyFont="1" applyBorder="1"/>
    <xf numFmtId="0" fontId="4" fillId="0" borderId="7" xfId="0" applyFont="1" applyBorder="1"/>
    <xf numFmtId="0" fontId="3" fillId="0" borderId="8" xfId="0" applyFont="1" applyBorder="1"/>
    <xf numFmtId="178" fontId="3" fillId="0" borderId="8" xfId="0" applyNumberFormat="1" applyFont="1" applyBorder="1"/>
    <xf numFmtId="4" fontId="4" fillId="0" borderId="8" xfId="0" applyNumberFormat="1" applyFont="1" applyBorder="1"/>
    <xf numFmtId="0" fontId="3" fillId="0" borderId="9" xfId="0" applyFont="1" applyBorder="1"/>
    <xf numFmtId="58" fontId="11" fillId="0" borderId="25" xfId="0" applyNumberFormat="1" applyFont="1" applyBorder="1" applyAlignment="1">
      <alignment horizontal="center"/>
    </xf>
    <xf numFmtId="4" fontId="11" fillId="0" borderId="25" xfId="0" applyNumberFormat="1" applyFont="1" applyBorder="1" applyAlignment="1">
      <alignment horizontal="right"/>
    </xf>
    <xf numFmtId="49" fontId="11" fillId="0" borderId="26" xfId="0" applyNumberFormat="1" applyFont="1" applyBorder="1" applyAlignment="1">
      <alignment horizontal="left"/>
    </xf>
    <xf numFmtId="58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right"/>
    </xf>
    <xf numFmtId="49" fontId="11" fillId="0" borderId="30" xfId="0" applyNumberFormat="1" applyFont="1" applyBorder="1" applyAlignment="1">
      <alignment horizontal="left"/>
    </xf>
    <xf numFmtId="58" fontId="11" fillId="0" borderId="16" xfId="0" applyNumberFormat="1" applyFont="1" applyBorder="1" applyAlignment="1">
      <alignment horizontal="center"/>
    </xf>
    <xf numFmtId="4" fontId="11" fillId="0" borderId="16" xfId="0" applyNumberFormat="1" applyFont="1" applyBorder="1" applyAlignment="1">
      <alignment horizontal="right"/>
    </xf>
    <xf numFmtId="49" fontId="11" fillId="0" borderId="28" xfId="0" applyNumberFormat="1" applyFont="1" applyBorder="1" applyAlignment="1">
      <alignment horizontal="left"/>
    </xf>
    <xf numFmtId="49" fontId="11" fillId="0" borderId="0" xfId="0" applyNumberFormat="1" applyFont="1" applyAlignment="1">
      <alignment horizontal="left"/>
    </xf>
    <xf numFmtId="49" fontId="16" fillId="0" borderId="25" xfId="0" applyNumberFormat="1" applyFont="1" applyBorder="1" applyAlignment="1">
      <alignment horizontal="center"/>
    </xf>
    <xf numFmtId="0" fontId="16" fillId="0" borderId="24" xfId="0" applyFont="1" applyBorder="1"/>
    <xf numFmtId="4" fontId="16" fillId="0" borderId="25" xfId="0" applyNumberFormat="1" applyFont="1" applyBorder="1"/>
    <xf numFmtId="0" fontId="16" fillId="0" borderId="27" xfId="0" applyFont="1" applyBorder="1"/>
    <xf numFmtId="0" fontId="16" fillId="0" borderId="16" xfId="0" applyFont="1" applyBorder="1"/>
    <xf numFmtId="178" fontId="16" fillId="0" borderId="16" xfId="0" applyNumberFormat="1" applyFont="1" applyBorder="1" applyAlignment="1">
      <alignment horizontal="center"/>
    </xf>
    <xf numFmtId="49" fontId="16" fillId="0" borderId="16" xfId="0" applyNumberFormat="1" applyFont="1" applyBorder="1" applyAlignment="1">
      <alignment horizontal="center"/>
    </xf>
    <xf numFmtId="178" fontId="16" fillId="0" borderId="16" xfId="0" applyNumberFormat="1" applyFont="1" applyBorder="1"/>
    <xf numFmtId="4" fontId="16" fillId="0" borderId="16" xfId="0" applyNumberFormat="1" applyFont="1" applyBorder="1"/>
    <xf numFmtId="0" fontId="16" fillId="0" borderId="28" xfId="0" applyFont="1" applyBorder="1"/>
    <xf numFmtId="49" fontId="16" fillId="0" borderId="0" xfId="0" applyNumberFormat="1" applyFont="1" applyAlignment="1">
      <alignment horizontal="center"/>
    </xf>
    <xf numFmtId="178" fontId="16" fillId="0" borderId="0" xfId="0" applyNumberFormat="1" applyFont="1"/>
    <xf numFmtId="0" fontId="16" fillId="0" borderId="7" xfId="0" applyFont="1" applyBorder="1"/>
    <xf numFmtId="4" fontId="3" fillId="0" borderId="8" xfId="0" applyNumberFormat="1" applyFont="1" applyBorder="1"/>
    <xf numFmtId="4" fontId="22" fillId="0" borderId="8" xfId="0" applyNumberFormat="1" applyFont="1" applyBorder="1"/>
    <xf numFmtId="0" fontId="14" fillId="0" borderId="8" xfId="0" applyFont="1" applyBorder="1"/>
    <xf numFmtId="178" fontId="14" fillId="0" borderId="8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178" fontId="14" fillId="0" borderId="8" xfId="0" applyNumberFormat="1" applyFont="1" applyBorder="1"/>
    <xf numFmtId="4" fontId="14" fillId="0" borderId="8" xfId="0" applyNumberFormat="1" applyFont="1" applyBorder="1"/>
    <xf numFmtId="0" fontId="14" fillId="0" borderId="9" xfId="0" applyFont="1" applyBorder="1"/>
    <xf numFmtId="0" fontId="2" fillId="0" borderId="7" xfId="0" applyFont="1" applyBorder="1"/>
    <xf numFmtId="4" fontId="2" fillId="0" borderId="8" xfId="0" applyNumberFormat="1" applyFont="1" applyBorder="1" applyAlignment="1">
      <alignment horizontal="right" indent="1"/>
    </xf>
    <xf numFmtId="4" fontId="2" fillId="0" borderId="8" xfId="0" applyNumberFormat="1" applyFont="1" applyBorder="1" applyAlignment="1">
      <alignment horizontal="right"/>
    </xf>
    <xf numFmtId="0" fontId="11" fillId="0" borderId="8" xfId="0" applyFont="1" applyBorder="1" applyAlignment="1">
      <alignment horizontal="center"/>
    </xf>
    <xf numFmtId="178" fontId="11" fillId="0" borderId="8" xfId="0" applyNumberFormat="1" applyFont="1" applyBorder="1" applyAlignment="1">
      <alignment horizontal="center"/>
    </xf>
    <xf numFmtId="4" fontId="11" fillId="0" borderId="8" xfId="0" applyNumberFormat="1" applyFont="1" applyBorder="1" applyAlignment="1">
      <alignment horizontal="right" indent="1"/>
    </xf>
    <xf numFmtId="0" fontId="11" fillId="0" borderId="9" xfId="0" applyFont="1" applyBorder="1"/>
    <xf numFmtId="4" fontId="5" fillId="0" borderId="25" xfId="0" applyNumberFormat="1" applyFont="1" applyBorder="1" applyAlignment="1">
      <alignment horizontal="right" indent="1"/>
    </xf>
    <xf numFmtId="4" fontId="5" fillId="0" borderId="8" xfId="0" applyNumberFormat="1" applyFont="1" applyBorder="1" applyAlignment="1">
      <alignment horizontal="right" indent="1"/>
    </xf>
    <xf numFmtId="0" fontId="2" fillId="0" borderId="8" xfId="0" applyFont="1" applyFill="1" applyBorder="1" applyAlignment="1">
      <alignment horizontal="center"/>
    </xf>
    <xf numFmtId="178" fontId="2" fillId="0" borderId="8" xfId="0" applyNumberFormat="1" applyFont="1" applyFill="1" applyBorder="1" applyAlignment="1">
      <alignment horizontal="center"/>
    </xf>
    <xf numFmtId="49" fontId="2" fillId="0" borderId="8" xfId="0" applyNumberFormat="1" applyFont="1" applyFill="1" applyBorder="1" applyAlignment="1">
      <alignment horizontal="center"/>
    </xf>
    <xf numFmtId="4" fontId="5" fillId="0" borderId="8" xfId="0" applyNumberFormat="1" applyFont="1" applyFill="1" applyBorder="1" applyAlignment="1">
      <alignment horizontal="right" indent="1"/>
    </xf>
    <xf numFmtId="4" fontId="5" fillId="2" borderId="8" xfId="0" applyNumberFormat="1" applyFont="1" applyFill="1" applyBorder="1" applyAlignment="1">
      <alignment horizontal="right" indent="1"/>
    </xf>
    <xf numFmtId="0" fontId="17" fillId="0" borderId="0" xfId="0" applyFont="1"/>
    <xf numFmtId="10" fontId="15" fillId="0" borderId="18" xfId="0" applyNumberFormat="1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49" fontId="17" fillId="0" borderId="0" xfId="0" applyNumberFormat="1" applyFont="1" applyAlignment="1">
      <alignment horizontal="center"/>
    </xf>
    <xf numFmtId="178" fontId="19" fillId="4" borderId="1" xfId="0" applyNumberFormat="1" applyFont="1" applyFill="1" applyBorder="1" applyAlignment="1">
      <alignment horizontal="center"/>
    </xf>
    <xf numFmtId="178" fontId="19" fillId="4" borderId="2" xfId="0" applyNumberFormat="1" applyFont="1" applyFill="1" applyBorder="1" applyAlignment="1">
      <alignment horizontal="center"/>
    </xf>
    <xf numFmtId="178" fontId="19" fillId="4" borderId="3" xfId="0" applyNumberFormat="1" applyFont="1" applyFill="1" applyBorder="1" applyAlignment="1">
      <alignment horizontal="center"/>
    </xf>
    <xf numFmtId="0" fontId="4" fillId="0" borderId="27" xfId="0" applyFont="1" applyBorder="1"/>
    <xf numFmtId="178" fontId="7" fillId="0" borderId="1" xfId="0" applyNumberFormat="1" applyFont="1" applyBorder="1" applyAlignment="1">
      <alignment horizontal="left"/>
    </xf>
    <xf numFmtId="178" fontId="7" fillId="0" borderId="2" xfId="0" applyNumberFormat="1" applyFont="1" applyBorder="1" applyAlignment="1">
      <alignment horizontal="left"/>
    </xf>
    <xf numFmtId="178" fontId="7" fillId="0" borderId="3" xfId="0" applyNumberFormat="1" applyFont="1" applyBorder="1" applyAlignment="1">
      <alignment horizontal="left"/>
    </xf>
    <xf numFmtId="4" fontId="7" fillId="0" borderId="20" xfId="0" applyNumberFormat="1" applyFont="1" applyBorder="1"/>
    <xf numFmtId="9" fontId="10" fillId="0" borderId="20" xfId="0" applyNumberFormat="1" applyFont="1" applyBorder="1" applyAlignment="1">
      <alignment horizontal="center"/>
    </xf>
    <xf numFmtId="58" fontId="7" fillId="0" borderId="2" xfId="0" applyNumberFormat="1" applyFont="1" applyBorder="1" applyAlignment="1">
      <alignment horizontal="left"/>
    </xf>
    <xf numFmtId="4" fontId="7" fillId="0" borderId="1" xfId="0" applyNumberFormat="1" applyFont="1" applyBorder="1"/>
    <xf numFmtId="4" fontId="7" fillId="0" borderId="0" xfId="0" applyNumberFormat="1" applyFont="1"/>
    <xf numFmtId="10" fontId="23" fillId="0" borderId="0" xfId="0" applyNumberFormat="1" applyFont="1" applyAlignment="1">
      <alignment horizontal="center"/>
    </xf>
    <xf numFmtId="178" fontId="19" fillId="0" borderId="21" xfId="0" applyNumberFormat="1" applyFont="1" applyBorder="1" applyAlignment="1">
      <alignment horizontal="center"/>
    </xf>
    <xf numFmtId="178" fontId="7" fillId="4" borderId="1" xfId="0" applyNumberFormat="1" applyFont="1" applyFill="1" applyBorder="1" applyAlignment="1">
      <alignment horizontal="center"/>
    </xf>
    <xf numFmtId="178" fontId="7" fillId="4" borderId="2" xfId="0" applyNumberFormat="1" applyFont="1" applyFill="1" applyBorder="1" applyAlignment="1">
      <alignment horizontal="center"/>
    </xf>
    <xf numFmtId="178" fontId="7" fillId="4" borderId="3" xfId="0" applyNumberFormat="1" applyFont="1" applyFill="1" applyBorder="1" applyAlignment="1">
      <alignment horizontal="center"/>
    </xf>
    <xf numFmtId="0" fontId="3" fillId="0" borderId="24" xfId="0" applyFont="1" applyBorder="1"/>
    <xf numFmtId="4" fontId="3" fillId="0" borderId="25" xfId="0" applyNumberFormat="1" applyFont="1" applyBorder="1"/>
    <xf numFmtId="0" fontId="3" fillId="0" borderId="29" xfId="0" applyFont="1" applyBorder="1"/>
    <xf numFmtId="0" fontId="3" fillId="0" borderId="27" xfId="0" applyFont="1" applyBorder="1"/>
    <xf numFmtId="4" fontId="3" fillId="0" borderId="16" xfId="0" applyNumberFormat="1" applyFont="1" applyBorder="1"/>
    <xf numFmtId="0" fontId="4" fillId="0" borderId="29" xfId="0" applyFont="1" applyBorder="1"/>
    <xf numFmtId="0" fontId="24" fillId="0" borderId="29" xfId="0" applyFont="1" applyBorder="1"/>
    <xf numFmtId="0" fontId="24" fillId="0" borderId="0" xfId="0" applyFont="1"/>
    <xf numFmtId="178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78" fontId="24" fillId="0" borderId="0" xfId="0" applyNumberFormat="1" applyFont="1"/>
    <xf numFmtId="4" fontId="24" fillId="0" borderId="0" xfId="0" applyNumberFormat="1" applyFont="1"/>
    <xf numFmtId="0" fontId="24" fillId="0" borderId="30" xfId="0" applyFont="1" applyBorder="1"/>
    <xf numFmtId="0" fontId="24" fillId="0" borderId="27" xfId="0" applyFont="1" applyBorder="1"/>
    <xf numFmtId="0" fontId="24" fillId="0" borderId="16" xfId="0" applyFont="1" applyBorder="1"/>
    <xf numFmtId="178" fontId="24" fillId="0" borderId="16" xfId="0" applyNumberFormat="1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178" fontId="24" fillId="0" borderId="16" xfId="0" applyNumberFormat="1" applyFont="1" applyBorder="1"/>
    <xf numFmtId="4" fontId="24" fillId="0" borderId="16" xfId="0" applyNumberFormat="1" applyFont="1" applyBorder="1"/>
    <xf numFmtId="0" fontId="24" fillId="0" borderId="28" xfId="0" applyFont="1" applyBorder="1"/>
    <xf numFmtId="0" fontId="11" fillId="0" borderId="24" xfId="0" applyFont="1" applyFill="1" applyBorder="1"/>
    <xf numFmtId="0" fontId="2" fillId="0" borderId="25" xfId="0" applyFont="1" applyFill="1" applyBorder="1" applyAlignment="1">
      <alignment horizontal="center"/>
    </xf>
    <xf numFmtId="178" fontId="2" fillId="0" borderId="25" xfId="0" applyNumberFormat="1" applyFont="1" applyFill="1" applyBorder="1" applyAlignment="1">
      <alignment horizontal="center"/>
    </xf>
    <xf numFmtId="49" fontId="2" fillId="0" borderId="25" xfId="0" applyNumberFormat="1" applyFont="1" applyFill="1" applyBorder="1" applyAlignment="1">
      <alignment horizontal="center"/>
    </xf>
    <xf numFmtId="4" fontId="11" fillId="0" borderId="25" xfId="0" applyNumberFormat="1" applyFont="1" applyFill="1" applyBorder="1" applyAlignment="1">
      <alignment horizontal="center"/>
    </xf>
    <xf numFmtId="0" fontId="2" fillId="0" borderId="26" xfId="0" applyFont="1" applyFill="1" applyBorder="1"/>
    <xf numFmtId="4" fontId="11" fillId="2" borderId="16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0" fontId="7" fillId="0" borderId="47" xfId="0" applyFont="1" applyBorder="1" applyAlignment="1">
      <alignment horizontal="left"/>
    </xf>
    <xf numFmtId="0" fontId="7" fillId="0" borderId="48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4" fontId="26" fillId="0" borderId="11" xfId="0" applyNumberFormat="1" applyFont="1" applyBorder="1"/>
    <xf numFmtId="0" fontId="7" fillId="0" borderId="53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54" xfId="0" applyFont="1" applyBorder="1" applyAlignment="1">
      <alignment horizontal="left"/>
    </xf>
    <xf numFmtId="4" fontId="7" fillId="0" borderId="16" xfId="0" applyNumberFormat="1" applyFont="1" applyBorder="1"/>
    <xf numFmtId="10" fontId="10" fillId="0" borderId="18" xfId="0" applyNumberFormat="1" applyFont="1" applyBorder="1" applyAlignment="1">
      <alignment horizontal="center"/>
    </xf>
    <xf numFmtId="4" fontId="7" fillId="0" borderId="33" xfId="0" applyNumberFormat="1" applyFont="1" applyBorder="1"/>
    <xf numFmtId="0" fontId="3" fillId="4" borderId="0" xfId="0" applyFont="1" applyFill="1"/>
    <xf numFmtId="0" fontId="6" fillId="0" borderId="0" xfId="0" applyFont="1" applyAlignment="1">
      <alignment horizontal="center"/>
    </xf>
    <xf numFmtId="178" fontId="3" fillId="0" borderId="21" xfId="0" applyNumberFormat="1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4" fontId="3" fillId="0" borderId="21" xfId="0" applyNumberFormat="1" applyFont="1" applyBorder="1" applyAlignment="1">
      <alignment horizontal="center"/>
    </xf>
    <xf numFmtId="0" fontId="27" fillId="0" borderId="0" xfId="0" applyFont="1"/>
    <xf numFmtId="4" fontId="2" fillId="0" borderId="0" xfId="0" applyNumberFormat="1" applyFont="1" applyAlignment="1">
      <alignment horizontal="right"/>
    </xf>
    <xf numFmtId="178" fontId="28" fillId="4" borderId="1" xfId="0" applyNumberFormat="1" applyFont="1" applyFill="1" applyBorder="1" applyAlignment="1">
      <alignment horizontal="center"/>
    </xf>
    <xf numFmtId="178" fontId="28" fillId="4" borderId="2" xfId="0" applyNumberFormat="1" applyFont="1" applyFill="1" applyBorder="1" applyAlignment="1">
      <alignment horizontal="center"/>
    </xf>
    <xf numFmtId="178" fontId="28" fillId="4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2" fillId="0" borderId="5" xfId="0" applyNumberFormat="1" applyFont="1" applyBorder="1" applyAlignment="1">
      <alignment horizontal="right"/>
    </xf>
    <xf numFmtId="4" fontId="2" fillId="0" borderId="25" xfId="0" applyNumberFormat="1" applyFont="1" applyBorder="1" applyAlignment="1">
      <alignment horizontal="right"/>
    </xf>
    <xf numFmtId="4" fontId="2" fillId="0" borderId="16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4" fontId="5" fillId="0" borderId="25" xfId="0" applyNumberFormat="1" applyFont="1" applyBorder="1" applyAlignment="1">
      <alignment horizontal="right"/>
    </xf>
    <xf numFmtId="49" fontId="11" fillId="0" borderId="26" xfId="0" applyNumberFormat="1" applyFont="1" applyBorder="1" applyAlignment="1">
      <alignment horizontal="center"/>
    </xf>
    <xf numFmtId="49" fontId="11" fillId="0" borderId="30" xfId="0" applyNumberFormat="1" applyFont="1" applyBorder="1" applyAlignment="1">
      <alignment horizontal="center"/>
    </xf>
    <xf numFmtId="49" fontId="11" fillId="0" borderId="28" xfId="0" applyNumberFormat="1" applyFont="1" applyBorder="1" applyAlignment="1">
      <alignment horizontal="center"/>
    </xf>
    <xf numFmtId="58" fontId="2" fillId="0" borderId="25" xfId="0" applyNumberFormat="1" applyFont="1" applyBorder="1" applyAlignment="1">
      <alignment horizontal="center"/>
    </xf>
    <xf numFmtId="58" fontId="2" fillId="0" borderId="0" xfId="0" applyNumberFormat="1" applyFont="1" applyAlignment="1">
      <alignment horizontal="center"/>
    </xf>
    <xf numFmtId="58" fontId="2" fillId="0" borderId="16" xfId="0" applyNumberFormat="1" applyFont="1" applyBorder="1" applyAlignment="1">
      <alignment horizontal="center"/>
    </xf>
    <xf numFmtId="0" fontId="29" fillId="0" borderId="24" xfId="0" applyFont="1" applyBorder="1"/>
    <xf numFmtId="0" fontId="30" fillId="0" borderId="25" xfId="0" applyFont="1" applyBorder="1" applyAlignment="1">
      <alignment horizontal="center"/>
    </xf>
    <xf numFmtId="178" fontId="30" fillId="0" borderId="25" xfId="0" applyNumberFormat="1" applyFont="1" applyBorder="1" applyAlignment="1">
      <alignment horizontal="center"/>
    </xf>
    <xf numFmtId="49" fontId="30" fillId="0" borderId="25" xfId="0" applyNumberFormat="1" applyFont="1" applyBorder="1" applyAlignment="1">
      <alignment horizontal="center"/>
    </xf>
    <xf numFmtId="4" fontId="30" fillId="0" borderId="25" xfId="0" applyNumberFormat="1" applyFont="1" applyBorder="1" applyAlignment="1">
      <alignment horizontal="right"/>
    </xf>
    <xf numFmtId="0" fontId="30" fillId="0" borderId="26" xfId="0" applyFont="1" applyBorder="1"/>
    <xf numFmtId="0" fontId="29" fillId="0" borderId="27" xfId="0" applyFont="1" applyBorder="1"/>
    <xf numFmtId="0" fontId="30" fillId="0" borderId="16" xfId="0" applyFont="1" applyBorder="1" applyAlignment="1">
      <alignment horizontal="center"/>
    </xf>
    <xf numFmtId="178" fontId="30" fillId="0" borderId="16" xfId="0" applyNumberFormat="1" applyFont="1" applyBorder="1" applyAlignment="1">
      <alignment horizontal="center"/>
    </xf>
    <xf numFmtId="49" fontId="30" fillId="0" borderId="16" xfId="0" applyNumberFormat="1" applyFont="1" applyBorder="1" applyAlignment="1">
      <alignment horizontal="center"/>
    </xf>
    <xf numFmtId="4" fontId="30" fillId="0" borderId="16" xfId="0" applyNumberFormat="1" applyFont="1" applyBorder="1" applyAlignment="1">
      <alignment horizontal="right"/>
    </xf>
    <xf numFmtId="0" fontId="30" fillId="0" borderId="28" xfId="0" applyFont="1" applyBorder="1"/>
    <xf numFmtId="0" fontId="31" fillId="0" borderId="0" xfId="0" applyFont="1"/>
    <xf numFmtId="0" fontId="30" fillId="0" borderId="0" xfId="0" applyFont="1" applyAlignment="1">
      <alignment horizontal="center"/>
    </xf>
    <xf numFmtId="178" fontId="30" fillId="0" borderId="0" xfId="0" applyNumberFormat="1" applyFont="1" applyAlignment="1">
      <alignment horizontal="center"/>
    </xf>
    <xf numFmtId="49" fontId="30" fillId="0" borderId="0" xfId="0" applyNumberFormat="1" applyFont="1" applyAlignment="1">
      <alignment horizontal="center"/>
    </xf>
    <xf numFmtId="4" fontId="31" fillId="0" borderId="0" xfId="0" applyNumberFormat="1" applyFont="1" applyAlignment="1">
      <alignment horizontal="right"/>
    </xf>
    <xf numFmtId="0" fontId="30" fillId="0" borderId="0" xfId="0" applyFont="1"/>
    <xf numFmtId="4" fontId="11" fillId="0" borderId="8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78" fontId="1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4" fontId="1" fillId="0" borderId="0" xfId="0" applyNumberFormat="1" applyFont="1"/>
    <xf numFmtId="16" fontId="2" fillId="0" borderId="0" xfId="0" applyNumberFormat="1" applyFont="1" applyAlignment="1">
      <alignment horizontal="center"/>
    </xf>
    <xf numFmtId="16" fontId="2" fillId="0" borderId="16" xfId="0" applyNumberFormat="1" applyFont="1" applyBorder="1" applyAlignment="1">
      <alignment horizontal="center"/>
    </xf>
    <xf numFmtId="4" fontId="5" fillId="0" borderId="8" xfId="0" applyNumberFormat="1" applyFont="1" applyFill="1" applyBorder="1" applyAlignment="1"/>
    <xf numFmtId="0" fontId="5" fillId="2" borderId="24" xfId="0" applyFont="1" applyFill="1" applyBorder="1"/>
    <xf numFmtId="0" fontId="2" fillId="2" borderId="25" xfId="0" applyFont="1" applyFill="1" applyBorder="1" applyAlignment="1">
      <alignment horizontal="center"/>
    </xf>
    <xf numFmtId="178" fontId="2" fillId="2" borderId="25" xfId="0" applyNumberFormat="1" applyFont="1" applyFill="1" applyBorder="1" applyAlignment="1">
      <alignment horizontal="center"/>
    </xf>
    <xf numFmtId="49" fontId="2" fillId="2" borderId="25" xfId="0" applyNumberFormat="1" applyFont="1" applyFill="1" applyBorder="1" applyAlignment="1">
      <alignment horizontal="center"/>
    </xf>
    <xf numFmtId="4" fontId="5" fillId="2" borderId="25" xfId="0" applyNumberFormat="1" applyFont="1" applyFill="1" applyBorder="1" applyAlignment="1">
      <alignment horizontal="right" indent="1"/>
    </xf>
    <xf numFmtId="0" fontId="2" fillId="2" borderId="26" xfId="0" applyFont="1" applyFill="1" applyBorder="1"/>
    <xf numFmtId="0" fontId="11" fillId="2" borderId="24" xfId="0" applyFont="1" applyFill="1" applyBorder="1"/>
    <xf numFmtId="0" fontId="11" fillId="2" borderId="25" xfId="0" applyFont="1" applyFill="1" applyBorder="1" applyAlignment="1">
      <alignment horizontal="center"/>
    </xf>
    <xf numFmtId="178" fontId="11" fillId="2" borderId="25" xfId="0" applyNumberFormat="1" applyFont="1" applyFill="1" applyBorder="1" applyAlignment="1">
      <alignment horizontal="center"/>
    </xf>
    <xf numFmtId="49" fontId="11" fillId="2" borderId="25" xfId="0" applyNumberFormat="1" applyFont="1" applyFill="1" applyBorder="1" applyAlignment="1">
      <alignment horizontal="center"/>
    </xf>
    <xf numFmtId="4" fontId="11" fillId="2" borderId="25" xfId="0" applyNumberFormat="1" applyFont="1" applyFill="1" applyBorder="1" applyAlignment="1">
      <alignment horizontal="right" indent="1"/>
    </xf>
    <xf numFmtId="0" fontId="11" fillId="2" borderId="26" xfId="0" applyFont="1" applyFill="1" applyBorder="1"/>
    <xf numFmtId="0" fontId="11" fillId="2" borderId="16" xfId="0" applyFont="1" applyFill="1" applyBorder="1" applyAlignment="1">
      <alignment horizontal="center"/>
    </xf>
    <xf numFmtId="178" fontId="11" fillId="2" borderId="16" xfId="0" applyNumberFormat="1" applyFont="1" applyFill="1" applyBorder="1" applyAlignment="1">
      <alignment horizontal="center"/>
    </xf>
    <xf numFmtId="0" fontId="11" fillId="2" borderId="28" xfId="0" applyFont="1" applyFill="1" applyBorder="1"/>
    <xf numFmtId="178" fontId="1" fillId="0" borderId="1" xfId="0" applyNumberFormat="1" applyFont="1" applyBorder="1" applyAlignment="1">
      <alignment horizontal="left"/>
    </xf>
    <xf numFmtId="178" fontId="1" fillId="0" borderId="2" xfId="0" applyNumberFormat="1" applyFont="1" applyBorder="1" applyAlignment="1">
      <alignment horizontal="left"/>
    </xf>
    <xf numFmtId="178" fontId="1" fillId="0" borderId="3" xfId="0" applyNumberFormat="1" applyFont="1" applyBorder="1" applyAlignment="1">
      <alignment horizontal="left"/>
    </xf>
    <xf numFmtId="4" fontId="8" fillId="0" borderId="3" xfId="0" applyNumberFormat="1" applyFont="1" applyBorder="1" applyAlignment="1">
      <alignment horizontal="right"/>
    </xf>
    <xf numFmtId="178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2" fillId="0" borderId="0" xfId="0" applyFont="1"/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" fontId="7" fillId="0" borderId="10" xfId="0" applyNumberFormat="1" applyFont="1" applyBorder="1" applyAlignment="1">
      <alignment horizontal="right"/>
    </xf>
    <xf numFmtId="10" fontId="10" fillId="0" borderId="13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4" fontId="7" fillId="0" borderId="15" xfId="0" applyNumberFormat="1" applyFont="1" applyBorder="1" applyAlignment="1">
      <alignment horizontal="right"/>
    </xf>
    <xf numFmtId="0" fontId="7" fillId="0" borderId="32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4" fontId="7" fillId="0" borderId="32" xfId="0" applyNumberFormat="1" applyFont="1" applyBorder="1" applyAlignment="1">
      <alignment horizontal="right"/>
    </xf>
    <xf numFmtId="0" fontId="19" fillId="0" borderId="0" xfId="0" applyFont="1" applyAlignment="1">
      <alignment horizontal="center"/>
    </xf>
    <xf numFmtId="4" fontId="19" fillId="0" borderId="7" xfId="0" applyNumberFormat="1" applyFont="1" applyBorder="1" applyAlignment="1">
      <alignment horizontal="center"/>
    </xf>
    <xf numFmtId="4" fontId="19" fillId="0" borderId="8" xfId="0" applyNumberFormat="1" applyFont="1" applyBorder="1" applyAlignment="1">
      <alignment horizontal="center"/>
    </xf>
    <xf numFmtId="4" fontId="19" fillId="0" borderId="9" xfId="0" applyNumberFormat="1" applyFont="1" applyBorder="1" applyAlignment="1">
      <alignment horizontal="center"/>
    </xf>
    <xf numFmtId="178" fontId="19" fillId="0" borderId="22" xfId="0" applyNumberFormat="1" applyFont="1" applyBorder="1" applyAlignment="1">
      <alignment horizontal="center"/>
    </xf>
    <xf numFmtId="0" fontId="33" fillId="0" borderId="0" xfId="0" applyFont="1"/>
    <xf numFmtId="0" fontId="1" fillId="0" borderId="0" xfId="0" applyFont="1"/>
    <xf numFmtId="0" fontId="34" fillId="0" borderId="0" xfId="0" applyFont="1" applyAlignment="1">
      <alignment horizontal="center"/>
    </xf>
    <xf numFmtId="4" fontId="8" fillId="0" borderId="20" xfId="0" applyNumberFormat="1" applyFont="1" applyBorder="1" applyAlignment="1">
      <alignment horizontal="center"/>
    </xf>
    <xf numFmtId="4" fontId="35" fillId="0" borderId="20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9" fontId="37" fillId="0" borderId="20" xfId="3" applyFont="1" applyBorder="1" applyAlignment="1">
      <alignment horizontal="center"/>
    </xf>
    <xf numFmtId="0" fontId="38" fillId="0" borderId="0" xfId="0" applyFont="1"/>
    <xf numFmtId="2" fontId="35" fillId="0" borderId="0" xfId="0" applyNumberFormat="1" applyFont="1" applyAlignment="1">
      <alignment horizontal="center"/>
    </xf>
    <xf numFmtId="0" fontId="37" fillId="0" borderId="0" xfId="0" applyFont="1"/>
    <xf numFmtId="9" fontId="39" fillId="0" borderId="20" xfId="3" applyFont="1" applyBorder="1" applyAlignment="1">
      <alignment horizontal="center"/>
    </xf>
    <xf numFmtId="9" fontId="39" fillId="0" borderId="0" xfId="3" applyFont="1" applyBorder="1" applyAlignment="1">
      <alignment horizontal="center"/>
    </xf>
    <xf numFmtId="4" fontId="35" fillId="0" borderId="0" xfId="0" applyNumberFormat="1" applyFont="1" applyAlignment="1">
      <alignment horizontal="center"/>
    </xf>
    <xf numFmtId="9" fontId="37" fillId="0" borderId="0" xfId="3" applyFont="1" applyBorder="1" applyAlignment="1">
      <alignment horizontal="center"/>
    </xf>
    <xf numFmtId="9" fontId="40" fillId="0" borderId="0" xfId="3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9" fontId="36" fillId="0" borderId="0" xfId="0" applyNumberFormat="1" applyFont="1" applyAlignment="1">
      <alignment horizontal="center"/>
    </xf>
    <xf numFmtId="0" fontId="35" fillId="0" borderId="0" xfId="0" applyFont="1"/>
    <xf numFmtId="0" fontId="41" fillId="0" borderId="0" xfId="0" applyFont="1" applyAlignment="1">
      <alignment horizontal="center"/>
    </xf>
    <xf numFmtId="9" fontId="37" fillId="0" borderId="20" xfId="3" applyFont="1" applyFill="1" applyBorder="1" applyAlignment="1">
      <alignment horizontal="center"/>
    </xf>
    <xf numFmtId="9" fontId="35" fillId="0" borderId="0" xfId="0" applyNumberFormat="1" applyFont="1"/>
    <xf numFmtId="9" fontId="0" fillId="0" borderId="0" xfId="0" applyNumberFormat="1"/>
    <xf numFmtId="0" fontId="34" fillId="0" borderId="1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0" fontId="34" fillId="0" borderId="3" xfId="0" applyFont="1" applyBorder="1" applyAlignment="1">
      <alignment horizontal="left"/>
    </xf>
    <xf numFmtId="4" fontId="40" fillId="0" borderId="20" xfId="0" applyNumberFormat="1" applyFont="1" applyBorder="1" applyAlignment="1">
      <alignment horizontal="center"/>
    </xf>
    <xf numFmtId="9" fontId="41" fillId="0" borderId="0" xfId="0" applyNumberFormat="1" applyFont="1" applyAlignment="1">
      <alignment horizontal="center"/>
    </xf>
    <xf numFmtId="0" fontId="42" fillId="0" borderId="1" xfId="0" applyFont="1" applyBorder="1" applyAlignment="1">
      <alignment horizontal="left"/>
    </xf>
    <xf numFmtId="0" fontId="42" fillId="0" borderId="2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33" fillId="2" borderId="1" xfId="0" applyFont="1" applyFill="1" applyBorder="1"/>
    <xf numFmtId="0" fontId="33" fillId="2" borderId="2" xfId="0" applyFont="1" applyFill="1" applyBorder="1"/>
    <xf numFmtId="4" fontId="25" fillId="2" borderId="2" xfId="0" applyNumberFormat="1" applyFont="1" applyFill="1" applyBorder="1" applyAlignment="1">
      <alignment horizontal="center"/>
    </xf>
    <xf numFmtId="4" fontId="8" fillId="2" borderId="20" xfId="0" applyNumberFormat="1" applyFont="1" applyFill="1" applyBorder="1" applyAlignment="1">
      <alignment horizontal="center"/>
    </xf>
    <xf numFmtId="4" fontId="40" fillId="0" borderId="0" xfId="0" applyNumberFormat="1" applyFont="1"/>
    <xf numFmtId="0" fontId="34" fillId="0" borderId="0" xfId="0" applyFont="1"/>
    <xf numFmtId="4" fontId="8" fillId="0" borderId="12" xfId="0" applyNumberFormat="1" applyFont="1" applyBorder="1" applyAlignment="1">
      <alignment horizontal="center"/>
    </xf>
    <xf numFmtId="10" fontId="43" fillId="0" borderId="12" xfId="0" applyNumberFormat="1" applyFont="1" applyBorder="1" applyAlignment="1">
      <alignment horizontal="center"/>
    </xf>
    <xf numFmtId="0" fontId="7" fillId="0" borderId="55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4" fontId="8" fillId="0" borderId="21" xfId="0" applyNumberFormat="1" applyFont="1" applyBorder="1" applyAlignment="1">
      <alignment horizontal="center"/>
    </xf>
    <xf numFmtId="10" fontId="43" fillId="0" borderId="56" xfId="0" applyNumberFormat="1" applyFont="1" applyBorder="1" applyAlignment="1">
      <alignment horizontal="center"/>
    </xf>
    <xf numFmtId="0" fontId="7" fillId="0" borderId="57" xfId="0" applyFont="1" applyBorder="1" applyAlignment="1">
      <alignment horizontal="left"/>
    </xf>
    <xf numFmtId="0" fontId="7" fillId="0" borderId="58" xfId="0" applyFont="1" applyBorder="1" applyAlignment="1">
      <alignment horizontal="left"/>
    </xf>
    <xf numFmtId="4" fontId="8" fillId="0" borderId="50" xfId="0" applyNumberFormat="1" applyFont="1" applyBorder="1" applyAlignment="1">
      <alignment horizontal="center"/>
    </xf>
    <xf numFmtId="10" fontId="43" fillId="0" borderId="59" xfId="0" applyNumberFormat="1" applyFont="1" applyBorder="1" applyAlignment="1">
      <alignment horizontal="center"/>
    </xf>
    <xf numFmtId="0" fontId="2" fillId="0" borderId="0" xfId="47" applyFont="1"/>
    <xf numFmtId="4" fontId="44" fillId="0" borderId="0" xfId="47" applyNumberFormat="1"/>
    <xf numFmtId="0" fontId="44" fillId="0" borderId="0" xfId="47"/>
    <xf numFmtId="0" fontId="44" fillId="0" borderId="0" xfId="47" applyAlignment="1">
      <alignment horizontal="center"/>
    </xf>
    <xf numFmtId="4" fontId="34" fillId="8" borderId="0" xfId="47" applyNumberFormat="1" applyFont="1" applyFill="1" applyAlignment="1">
      <alignment horizontal="center"/>
    </xf>
    <xf numFmtId="0" fontId="19" fillId="0" borderId="20" xfId="47" applyFont="1" applyBorder="1" applyAlignment="1">
      <alignment horizontal="left"/>
    </xf>
    <xf numFmtId="4" fontId="45" fillId="0" borderId="20" xfId="47" applyNumberFormat="1" applyFont="1" applyBorder="1" applyAlignment="1">
      <alignment horizontal="center"/>
    </xf>
    <xf numFmtId="4" fontId="19" fillId="0" borderId="21" xfId="47" applyNumberFormat="1" applyFont="1" applyBorder="1"/>
    <xf numFmtId="0" fontId="19" fillId="0" borderId="21" xfId="47" applyFont="1" applyBorder="1"/>
    <xf numFmtId="0" fontId="19" fillId="0" borderId="7" xfId="47" applyFont="1" applyBorder="1" applyAlignment="1">
      <alignment horizontal="center"/>
    </xf>
    <xf numFmtId="0" fontId="19" fillId="0" borderId="9" xfId="47" applyFont="1" applyBorder="1" applyAlignment="1">
      <alignment horizontal="center"/>
    </xf>
    <xf numFmtId="0" fontId="19" fillId="0" borderId="8" xfId="47" applyFont="1" applyBorder="1"/>
    <xf numFmtId="0" fontId="44" fillId="0" borderId="21" xfId="47" applyFont="1" applyBorder="1" applyAlignment="1">
      <alignment horizontal="center"/>
    </xf>
    <xf numFmtId="0" fontId="44" fillId="0" borderId="21" xfId="47" applyFont="1" applyBorder="1"/>
    <xf numFmtId="4" fontId="2" fillId="0" borderId="21" xfId="0" applyNumberFormat="1" applyFont="1" applyBorder="1" applyAlignment="1">
      <alignment horizontal="center"/>
    </xf>
    <xf numFmtId="4" fontId="44" fillId="0" borderId="21" xfId="47" applyNumberFormat="1" applyBorder="1" applyAlignment="1">
      <alignment horizontal="center"/>
    </xf>
    <xf numFmtId="0" fontId="44" fillId="0" borderId="21" xfId="47" applyBorder="1"/>
    <xf numFmtId="4" fontId="44" fillId="0" borderId="21" xfId="47" applyNumberFormat="1" applyBorder="1"/>
    <xf numFmtId="178" fontId="2" fillId="0" borderId="21" xfId="0" applyNumberFormat="1" applyFont="1" applyBorder="1" applyAlignment="1">
      <alignment horizontal="left"/>
    </xf>
    <xf numFmtId="4" fontId="44" fillId="0" borderId="7" xfId="47" applyNumberFormat="1" applyBorder="1" applyAlignment="1">
      <alignment horizontal="center"/>
    </xf>
    <xf numFmtId="4" fontId="44" fillId="0" borderId="9" xfId="47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44" fillId="0" borderId="0" xfId="47" applyNumberFormat="1" applyAlignment="1">
      <alignment horizontal="center"/>
    </xf>
    <xf numFmtId="0" fontId="34" fillId="8" borderId="0" xfId="47" applyFont="1" applyFill="1" applyAlignment="1">
      <alignment horizontal="center"/>
    </xf>
    <xf numFmtId="0" fontId="6" fillId="0" borderId="1" xfId="47" applyFont="1" applyBorder="1" applyAlignment="1">
      <alignment horizontal="left"/>
    </xf>
    <xf numFmtId="4" fontId="46" fillId="0" borderId="20" xfId="47" applyNumberFormat="1" applyFont="1" applyBorder="1" applyAlignment="1">
      <alignment horizontal="center"/>
    </xf>
    <xf numFmtId="0" fontId="6" fillId="0" borderId="53" xfId="47" applyFont="1" applyBorder="1"/>
    <xf numFmtId="4" fontId="46" fillId="0" borderId="18" xfId="47" applyNumberFormat="1" applyFont="1" applyBorder="1" applyAlignment="1">
      <alignment horizontal="center"/>
    </xf>
    <xf numFmtId="0" fontId="6" fillId="0" borderId="35" xfId="47" applyFont="1" applyBorder="1"/>
    <xf numFmtId="0" fontId="6" fillId="0" borderId="32" xfId="47" applyFont="1" applyBorder="1" applyAlignment="1">
      <alignment horizontal="left"/>
    </xf>
    <xf numFmtId="4" fontId="46" fillId="0" borderId="19" xfId="47" applyNumberFormat="1" applyFont="1" applyBorder="1" applyAlignment="1">
      <alignment horizontal="center"/>
    </xf>
    <xf numFmtId="4" fontId="46" fillId="0" borderId="52" xfId="47" applyNumberFormat="1" applyFont="1" applyBorder="1" applyAlignment="1">
      <alignment horizontal="center"/>
    </xf>
    <xf numFmtId="4" fontId="8" fillId="0" borderId="0" xfId="47" applyNumberFormat="1" applyFont="1" applyAlignment="1">
      <alignment horizontal="center"/>
    </xf>
    <xf numFmtId="4" fontId="8" fillId="0" borderId="0" xfId="47" applyNumberFormat="1" applyFont="1"/>
    <xf numFmtId="0" fontId="6" fillId="0" borderId="20" xfId="47" applyFont="1" applyBorder="1" applyAlignment="1">
      <alignment horizontal="left"/>
    </xf>
    <xf numFmtId="4" fontId="46" fillId="0" borderId="14" xfId="47" applyNumberFormat="1" applyFont="1" applyBorder="1" applyAlignment="1">
      <alignment horizontal="center"/>
    </xf>
  </cellXfs>
  <cellStyles count="4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Note" xfId="6" builtinId="10"/>
    <cellStyle name="Warning Text" xfId="7" builtinId="11"/>
    <cellStyle name="Title" xfId="8" builtinId="15"/>
    <cellStyle name="Explanatory Text" xfId="9" builtinId="53"/>
    <cellStyle name="Heading 1" xfId="10" builtinId="16"/>
    <cellStyle name="Heading 2" xfId="11" builtinId="17"/>
    <cellStyle name="Heading 3" xfId="12" builtinId="18"/>
    <cellStyle name="Heading 4" xfId="13" builtinId="19"/>
    <cellStyle name="Input" xfId="14" builtinId="20"/>
    <cellStyle name="Output" xfId="15" builtinId="21"/>
    <cellStyle name="Calculation" xfId="16" builtinId="22"/>
    <cellStyle name="Check Cell" xfId="17" builtinId="23"/>
    <cellStyle name="Linked Cell" xfId="18" builtinId="24"/>
    <cellStyle name="Total" xfId="19" builtinId="25"/>
    <cellStyle name="Good" xfId="20" builtinId="26"/>
    <cellStyle name="Bad" xfId="21" builtinId="27"/>
    <cellStyle name="Neutral" xfId="22" builtinId="28"/>
    <cellStyle name="Accent1" xfId="23" builtinId="29"/>
    <cellStyle name="20% - Accent1" xfId="24" builtinId="30"/>
    <cellStyle name="40% - Accent1" xfId="25" builtinId="31"/>
    <cellStyle name="60% - Accent1" xfId="26" builtinId="32"/>
    <cellStyle name="Accent2" xfId="27" builtinId="33"/>
    <cellStyle name="20% - Accent2" xfId="28" builtinId="34"/>
    <cellStyle name="40% - Accent2" xfId="29" builtinId="35"/>
    <cellStyle name="60% - Accent2" xfId="30" builtinId="36"/>
    <cellStyle name="Accent3" xfId="31" builtinId="37"/>
    <cellStyle name="20% - Accent3" xfId="32" builtinId="38"/>
    <cellStyle name="40% - Accent3" xfId="33" builtinId="39"/>
    <cellStyle name="60% - Accent3" xfId="34" builtinId="40"/>
    <cellStyle name="Accent4" xfId="35" builtinId="41"/>
    <cellStyle name="20% - Accent4" xfId="36" builtinId="42"/>
    <cellStyle name="40% - Accent4" xfId="37" builtinId="43"/>
    <cellStyle name="60% - Accent4" xfId="38" builtinId="44"/>
    <cellStyle name="Accent5" xfId="39" builtinId="45"/>
    <cellStyle name="20% - Accent5" xfId="40" builtinId="46"/>
    <cellStyle name="40% - Accent5" xfId="41" builtinId="47"/>
    <cellStyle name="60% - Accent5" xfId="42" builtinId="48"/>
    <cellStyle name="Accent6" xfId="43" builtinId="49"/>
    <cellStyle name="20% - Accent6" xfId="44" builtinId="50"/>
    <cellStyle name="40% - Accent6" xfId="45" builtinId="51"/>
    <cellStyle name="60% - Accent6" xfId="46" builtinId="52"/>
    <cellStyle name="Normal 2" xfId="47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'IMPAYES 2020-2021-2022 (2)'!$B$1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'IMPAYES 2020-2021-2022 (2)'!$A$2:$A$93</c:f>
              <c:numCache>
                <c:formatCode>General</c:formatCode>
                <c:ptCount val="92"/>
              </c:numCache>
            </c:numRef>
          </c:cat>
          <c:val>
            <c:numRef>
              <c:f>'IMPAYES 2020-2021-2022 (2)'!$B$2:$B$93</c:f>
              <c:numCache>
                <c:formatCode>#,##0.00</c:formatCode>
                <c:ptCount val="9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6295072"/>
        <c:axId val="606296712"/>
      </c:lineChart>
      <c:catAx>
        <c:axId val="60629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296712"/>
        <c:crosses val="autoZero"/>
        <c:auto val="1"/>
        <c:lblAlgn val="ctr"/>
        <c:lblOffset val="100"/>
        <c:noMultiLvlLbl val="0"/>
      </c:catAx>
      <c:valAx>
        <c:axId val="60629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29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c392a5-4bbc-45f8-a6bc-b0da9632b0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68684600577838"/>
          <c:y val="0.1371487346205"/>
          <c:w val="0.902473875925917"/>
          <c:h val="0.684228209589465"/>
        </c:manualLayout>
      </c:layout>
      <c:lineChart>
        <c:grouping val="standard"/>
        <c:varyColors val="0"/>
        <c:ser>
          <c:idx val="0"/>
          <c:order val="0"/>
          <c:tx>
            <c:strRef>
              <c:f>'IMPAYES 2020-2021-2022'!$B$1</c:f>
              <c:strCache>
                <c:ptCount val="1"/>
                <c:pt idx="0">
                  <c:v>TOTAL IMPAYES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'IMPAYES 2020-2021-2022'!$A$2:$A$49</c:f>
              <c:strCache>
                <c:ptCount val="48"/>
                <c:pt idx="0">
                  <c:v>AU 02/05/2025</c:v>
                </c:pt>
                <c:pt idx="1">
                  <c:v>AU 15/05/2025</c:v>
                </c:pt>
                <c:pt idx="2">
                  <c:v>AU 22/05/2025</c:v>
                </c:pt>
                <c:pt idx="3">
                  <c:v>AU 29/05/2025</c:v>
                </c:pt>
                <c:pt idx="4">
                  <c:v>AU 12/06/2025</c:v>
                </c:pt>
                <c:pt idx="5">
                  <c:v>AU 19/06/2025</c:v>
                </c:pt>
                <c:pt idx="6">
                  <c:v>AU 04/07/2025</c:v>
                </c:pt>
                <c:pt idx="7">
                  <c:v>AU 10/07/2025</c:v>
                </c:pt>
                <c:pt idx="8">
                  <c:v>AU 18/07/2025</c:v>
                </c:pt>
                <c:pt idx="9">
                  <c:v>AU 25/07/2025</c:v>
                </c:pt>
                <c:pt idx="10">
                  <c:v>AU 11/08/2025</c:v>
                </c:pt>
                <c:pt idx="11">
                  <c:v>AU 22/08/2025</c:v>
                </c:pt>
                <c:pt idx="12">
                  <c:v>AU 19/9/2025</c:v>
                </c:pt>
                <c:pt idx="13">
                  <c:v>AU 25/09/2025</c:v>
                </c:pt>
                <c:pt idx="14">
                  <c:v>AU  03/10/2025</c:v>
                </c:pt>
                <c:pt idx="15">
                  <c:v>AU 10/10/2025</c:v>
                </c:pt>
                <c:pt idx="16">
                  <c:v>AU 17/10/2025</c:v>
                </c:pt>
                <c:pt idx="17">
                  <c:v>AU 22/10/2025</c:v>
                </c:pt>
                <c:pt idx="18">
                  <c:v>AU 31/10/2025</c:v>
                </c:pt>
                <c:pt idx="19">
                  <c:v>AU 07/11/2025</c:v>
                </c:pt>
                <c:pt idx="20">
                  <c:v>AU 14/11/2025</c:v>
                </c:pt>
                <c:pt idx="21">
                  <c:v>AU 21/11/2025</c:v>
                </c:pt>
                <c:pt idx="22">
                  <c:v>AU 28/11/2025</c:v>
                </c:pt>
                <c:pt idx="23">
                  <c:v>AU 05/12/2025</c:v>
                </c:pt>
                <c:pt idx="24">
                  <c:v>AU 12/12/2025</c:v>
                </c:pt>
                <c:pt idx="25">
                  <c:v>AU 19/12/2025</c:v>
                </c:pt>
                <c:pt idx="26">
                  <c:v>AU 26/12/2025</c:v>
                </c:pt>
                <c:pt idx="27">
                  <c:v>AU 08/01/2026</c:v>
                </c:pt>
                <c:pt idx="28">
                  <c:v>AU 20/01/26</c:v>
                </c:pt>
                <c:pt idx="29">
                  <c:v>AU 29/01/26</c:v>
                </c:pt>
                <c:pt idx="30">
                  <c:v>AU 13/02/2026</c:v>
                </c:pt>
                <c:pt idx="31">
                  <c:v>AU 27/02/26</c:v>
                </c:pt>
                <c:pt idx="32">
                  <c:v>AU 06/03/2026</c:v>
                </c:pt>
                <c:pt idx="33">
                  <c:v>AU 13/03/2026</c:v>
                </c:pt>
                <c:pt idx="34">
                  <c:v>AU 02/4/2026</c:v>
                </c:pt>
                <c:pt idx="35">
                  <c:v>AU 13/04/2026</c:v>
                </c:pt>
                <c:pt idx="36">
                  <c:v>AU 24/04/2026</c:v>
                </c:pt>
                <c:pt idx="37">
                  <c:v>AU 08/05/2026</c:v>
                </c:pt>
                <c:pt idx="38">
                  <c:v>AU 15/05/2026</c:v>
                </c:pt>
                <c:pt idx="39">
                  <c:v>AU 04/06/2026</c:v>
                </c:pt>
                <c:pt idx="40">
                  <c:v>AU 12/06/2026</c:v>
                </c:pt>
                <c:pt idx="41">
                  <c:v>AU 19/06/2026</c:v>
                </c:pt>
                <c:pt idx="42">
                  <c:v>AU 26/06/26</c:v>
                </c:pt>
                <c:pt idx="43">
                  <c:v>AU 03/07/26</c:v>
                </c:pt>
                <c:pt idx="44">
                  <c:v>AU 10/07/2026</c:v>
                </c:pt>
                <c:pt idx="45">
                  <c:v>AU 17/07/2026</c:v>
                </c:pt>
                <c:pt idx="46">
                  <c:v>AU 24/07/2026</c:v>
                </c:pt>
                <c:pt idx="47">
                  <c:v>AU 31/07/2026</c:v>
                </c:pt>
              </c:strCache>
            </c:strRef>
          </c:cat>
          <c:val>
            <c:numRef>
              <c:f>'IMPAYES 2020-2021-2022'!$B$2:$B$49</c:f>
              <c:numCache>
                <c:formatCode>#,##0.00</c:formatCode>
                <c:ptCount val="48"/>
                <c:pt idx="0">
                  <c:v>20242067.81</c:v>
                </c:pt>
                <c:pt idx="1">
                  <c:v>21495469.81</c:v>
                </c:pt>
                <c:pt idx="2">
                  <c:v>20300655.87</c:v>
                </c:pt>
                <c:pt idx="3">
                  <c:v>20730390.76</c:v>
                </c:pt>
                <c:pt idx="4">
                  <c:v>20741807.5</c:v>
                </c:pt>
                <c:pt idx="5">
                  <c:v>21232064.74</c:v>
                </c:pt>
                <c:pt idx="6">
                  <c:v>21572565.96</c:v>
                </c:pt>
                <c:pt idx="7">
                  <c:v>22159613.16</c:v>
                </c:pt>
                <c:pt idx="8">
                  <c:v>23082632.93</c:v>
                </c:pt>
                <c:pt idx="9">
                  <c:v>22597856.01</c:v>
                </c:pt>
                <c:pt idx="10">
                  <c:v>22835782.35</c:v>
                </c:pt>
                <c:pt idx="11">
                  <c:v>22074370.56</c:v>
                </c:pt>
                <c:pt idx="12">
                  <c:v>23515096.45</c:v>
                </c:pt>
                <c:pt idx="13">
                  <c:v>23383883.43</c:v>
                </c:pt>
                <c:pt idx="14">
                  <c:v>22319367.21</c:v>
                </c:pt>
                <c:pt idx="15">
                  <c:v>21830616.11</c:v>
                </c:pt>
                <c:pt idx="16">
                  <c:v>22309326.67</c:v>
                </c:pt>
                <c:pt idx="17">
                  <c:v>21665674.68</c:v>
                </c:pt>
                <c:pt idx="18">
                  <c:v>22855451.83</c:v>
                </c:pt>
                <c:pt idx="19">
                  <c:v>22488473.03</c:v>
                </c:pt>
                <c:pt idx="20">
                  <c:v>22188409.63</c:v>
                </c:pt>
                <c:pt idx="21">
                  <c:v>22719190.1</c:v>
                </c:pt>
                <c:pt idx="22">
                  <c:v>22772612.6</c:v>
                </c:pt>
                <c:pt idx="23">
                  <c:v>24079213.51</c:v>
                </c:pt>
                <c:pt idx="24">
                  <c:v>23734099.41</c:v>
                </c:pt>
                <c:pt idx="25">
                  <c:v>23930505.36</c:v>
                </c:pt>
                <c:pt idx="26">
                  <c:v>25151455.5</c:v>
                </c:pt>
                <c:pt idx="27">
                  <c:v>25018540.94</c:v>
                </c:pt>
                <c:pt idx="28">
                  <c:v>23118109.01</c:v>
                </c:pt>
                <c:pt idx="29">
                  <c:v>23168650.73</c:v>
                </c:pt>
                <c:pt idx="30">
                  <c:v>23441168.14</c:v>
                </c:pt>
                <c:pt idx="31">
                  <c:v>23851557.12</c:v>
                </c:pt>
                <c:pt idx="32">
                  <c:v>23943964.11</c:v>
                </c:pt>
                <c:pt idx="33">
                  <c:v>24918555.23</c:v>
                </c:pt>
                <c:pt idx="34">
                  <c:v>25136142.08</c:v>
                </c:pt>
                <c:pt idx="35">
                  <c:v>26156223.01</c:v>
                </c:pt>
                <c:pt idx="36">
                  <c:v>24782102.76</c:v>
                </c:pt>
                <c:pt idx="37">
                  <c:v>24878605.65</c:v>
                </c:pt>
                <c:pt idx="38">
                  <c:v>26125125.67</c:v>
                </c:pt>
                <c:pt idx="39">
                  <c:v>27156718.87</c:v>
                </c:pt>
                <c:pt idx="40">
                  <c:v>28394969.64</c:v>
                </c:pt>
                <c:pt idx="41">
                  <c:v>28455260.08</c:v>
                </c:pt>
                <c:pt idx="42">
                  <c:v>28352570.5</c:v>
                </c:pt>
                <c:pt idx="43">
                  <c:v>27505344.15</c:v>
                </c:pt>
                <c:pt idx="44">
                  <c:v>27899115.26</c:v>
                </c:pt>
                <c:pt idx="45">
                  <c:v>27355715.91</c:v>
                </c:pt>
                <c:pt idx="46">
                  <c:v>26243849.64</c:v>
                </c:pt>
                <c:pt idx="47">
                  <c:v>26163575.21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9565232"/>
        <c:axId val="638507312"/>
      </c:lineChart>
      <c:catAx>
        <c:axId val="35956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507312"/>
        <c:crosses val="autoZero"/>
        <c:auto val="1"/>
        <c:lblAlgn val="ctr"/>
        <c:lblOffset val="100"/>
        <c:noMultiLvlLbl val="0"/>
      </c:catAx>
      <c:valAx>
        <c:axId val="6385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56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a1726ff-3efa-4652-b482-596bff03792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06344925634296"/>
          <c:y val="0.39583552055993"/>
          <c:w val="0.783988188976378"/>
          <c:h val="0.309426582093905"/>
        </c:manualLayout>
      </c:layout>
      <c:lineChart>
        <c:grouping val="standard"/>
        <c:varyColors val="0"/>
        <c:ser>
          <c:idx val="0"/>
          <c:order val="0"/>
          <c:tx>
            <c:strRef>
              <c:f>'IMPAYES 2020-2021-2022'!$B$51</c:f>
              <c:strCache>
                <c:ptCount val="1"/>
                <c:pt idx="0">
                  <c:v> IMPAYES NABIL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2020-2021-2022'!$B$52:$B$99</c:f>
              <c:numCache>
                <c:formatCode>#,##0.00</c:formatCode>
                <c:ptCount val="48"/>
                <c:pt idx="0">
                  <c:v>11167822.16</c:v>
                </c:pt>
                <c:pt idx="1">
                  <c:v>12089610.04</c:v>
                </c:pt>
                <c:pt idx="2">
                  <c:v>11006950.55</c:v>
                </c:pt>
                <c:pt idx="3">
                  <c:v>10947363.61</c:v>
                </c:pt>
                <c:pt idx="4">
                  <c:v>11351490.6</c:v>
                </c:pt>
                <c:pt idx="5">
                  <c:v>11339356.44</c:v>
                </c:pt>
                <c:pt idx="6">
                  <c:v>11660099.12</c:v>
                </c:pt>
                <c:pt idx="7">
                  <c:v>12098509.34</c:v>
                </c:pt>
                <c:pt idx="8">
                  <c:v>12550687.96</c:v>
                </c:pt>
                <c:pt idx="9">
                  <c:v>12279855.23</c:v>
                </c:pt>
                <c:pt idx="10">
                  <c:v>11964133.77</c:v>
                </c:pt>
                <c:pt idx="11">
                  <c:v>11617239.59</c:v>
                </c:pt>
                <c:pt idx="12">
                  <c:v>12291000.23</c:v>
                </c:pt>
                <c:pt idx="13">
                  <c:v>12133152.89</c:v>
                </c:pt>
                <c:pt idx="14">
                  <c:v>11379126.67</c:v>
                </c:pt>
                <c:pt idx="15">
                  <c:v>11515385.92</c:v>
                </c:pt>
                <c:pt idx="16">
                  <c:v>11964830.95</c:v>
                </c:pt>
                <c:pt idx="17">
                  <c:v>11921828.96</c:v>
                </c:pt>
                <c:pt idx="18">
                  <c:v>12573627.48</c:v>
                </c:pt>
                <c:pt idx="19">
                  <c:v>12579775.08</c:v>
                </c:pt>
                <c:pt idx="20">
                  <c:v>12228921.43</c:v>
                </c:pt>
                <c:pt idx="21">
                  <c:v>12428476.71</c:v>
                </c:pt>
                <c:pt idx="22">
                  <c:v>12510938.95</c:v>
                </c:pt>
                <c:pt idx="23">
                  <c:v>13029075.59</c:v>
                </c:pt>
                <c:pt idx="24">
                  <c:v>12651514.47</c:v>
                </c:pt>
                <c:pt idx="25">
                  <c:v>12803409.97</c:v>
                </c:pt>
                <c:pt idx="26">
                  <c:v>12908817.62</c:v>
                </c:pt>
                <c:pt idx="27">
                  <c:v>12458351.68</c:v>
                </c:pt>
                <c:pt idx="28">
                  <c:v>11614484.8</c:v>
                </c:pt>
                <c:pt idx="29">
                  <c:v>11386352.41</c:v>
                </c:pt>
                <c:pt idx="30">
                  <c:v>11089687.68</c:v>
                </c:pt>
                <c:pt idx="31">
                  <c:v>11111790.94</c:v>
                </c:pt>
                <c:pt idx="32">
                  <c:v>11603166.15</c:v>
                </c:pt>
                <c:pt idx="33">
                  <c:v>12050204.24</c:v>
                </c:pt>
                <c:pt idx="34">
                  <c:v>12065976.59</c:v>
                </c:pt>
                <c:pt idx="35">
                  <c:v>12571457.45</c:v>
                </c:pt>
                <c:pt idx="36">
                  <c:v>11889039.4</c:v>
                </c:pt>
                <c:pt idx="37">
                  <c:v>11435663.47</c:v>
                </c:pt>
                <c:pt idx="38">
                  <c:v>12052234.55</c:v>
                </c:pt>
                <c:pt idx="39">
                  <c:v>12235593.27</c:v>
                </c:pt>
                <c:pt idx="40">
                  <c:v>13149807.18</c:v>
                </c:pt>
                <c:pt idx="41">
                  <c:v>13209397.46</c:v>
                </c:pt>
                <c:pt idx="42">
                  <c:v>13502618.83</c:v>
                </c:pt>
                <c:pt idx="43">
                  <c:v>12711490.32</c:v>
                </c:pt>
                <c:pt idx="44">
                  <c:v>12643240.92</c:v>
                </c:pt>
                <c:pt idx="45">
                  <c:v>12442432.59</c:v>
                </c:pt>
                <c:pt idx="46">
                  <c:v>11591970.03</c:v>
                </c:pt>
                <c:pt idx="47">
                  <c:v>11219652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'IMPAYES 2020-2021-2022'!$C$51</c:f>
              <c:strCache>
                <c:ptCount val="1"/>
                <c:pt idx="0">
                  <c:v> IMPAYES OMAR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2020-2021-2022'!$C$52:$C$99</c:f>
              <c:numCache>
                <c:formatCode>#,##0.00</c:formatCode>
                <c:ptCount val="48"/>
                <c:pt idx="0">
                  <c:v>2790514.82</c:v>
                </c:pt>
                <c:pt idx="1">
                  <c:v>2902202.62</c:v>
                </c:pt>
                <c:pt idx="2">
                  <c:v>2774642.62</c:v>
                </c:pt>
                <c:pt idx="3">
                  <c:v>2825142.62</c:v>
                </c:pt>
                <c:pt idx="4">
                  <c:v>2916922.87</c:v>
                </c:pt>
                <c:pt idx="5">
                  <c:v>2956234.47</c:v>
                </c:pt>
                <c:pt idx="6">
                  <c:v>2830647.25</c:v>
                </c:pt>
                <c:pt idx="7">
                  <c:v>2674766.44</c:v>
                </c:pt>
                <c:pt idx="8">
                  <c:v>2924819.25</c:v>
                </c:pt>
                <c:pt idx="9">
                  <c:v>2611982.87</c:v>
                </c:pt>
                <c:pt idx="10">
                  <c:v>2911848.44</c:v>
                </c:pt>
                <c:pt idx="11">
                  <c:v>2832606.44</c:v>
                </c:pt>
                <c:pt idx="12">
                  <c:v>3186853.64</c:v>
                </c:pt>
                <c:pt idx="13">
                  <c:v>3171853.64</c:v>
                </c:pt>
                <c:pt idx="14">
                  <c:v>3273053.64</c:v>
                </c:pt>
                <c:pt idx="15">
                  <c:v>2957264.87</c:v>
                </c:pt>
                <c:pt idx="16">
                  <c:v>3187485.37</c:v>
                </c:pt>
                <c:pt idx="17">
                  <c:v>2714993.37</c:v>
                </c:pt>
                <c:pt idx="18">
                  <c:v>3003871.37</c:v>
                </c:pt>
                <c:pt idx="19">
                  <c:v>2923871.37</c:v>
                </c:pt>
                <c:pt idx="20">
                  <c:v>2899292.73</c:v>
                </c:pt>
                <c:pt idx="21">
                  <c:v>3174387.03</c:v>
                </c:pt>
                <c:pt idx="22">
                  <c:v>3174387.03</c:v>
                </c:pt>
                <c:pt idx="23">
                  <c:v>3170427.26</c:v>
                </c:pt>
                <c:pt idx="24">
                  <c:v>3114167.26</c:v>
                </c:pt>
                <c:pt idx="25">
                  <c:v>3139167.26</c:v>
                </c:pt>
                <c:pt idx="26">
                  <c:v>3200941.14</c:v>
                </c:pt>
                <c:pt idx="27">
                  <c:v>3270504.44</c:v>
                </c:pt>
                <c:pt idx="28">
                  <c:v>3262692.58</c:v>
                </c:pt>
                <c:pt idx="29">
                  <c:v>3084564.81</c:v>
                </c:pt>
                <c:pt idx="30">
                  <c:v>3479106.44</c:v>
                </c:pt>
                <c:pt idx="31">
                  <c:v>3490964.73</c:v>
                </c:pt>
                <c:pt idx="32">
                  <c:v>3554584.83</c:v>
                </c:pt>
                <c:pt idx="33">
                  <c:v>3626474.76</c:v>
                </c:pt>
                <c:pt idx="34">
                  <c:v>3560694.18</c:v>
                </c:pt>
                <c:pt idx="35">
                  <c:v>3705449.11</c:v>
                </c:pt>
                <c:pt idx="36">
                  <c:v>3592623.21</c:v>
                </c:pt>
                <c:pt idx="37">
                  <c:v>3647623.21</c:v>
                </c:pt>
                <c:pt idx="38">
                  <c:v>3965911.13</c:v>
                </c:pt>
                <c:pt idx="39">
                  <c:v>3936674.25</c:v>
                </c:pt>
                <c:pt idx="40">
                  <c:v>3991005.45</c:v>
                </c:pt>
                <c:pt idx="41">
                  <c:v>3782521.52</c:v>
                </c:pt>
                <c:pt idx="42">
                  <c:v>3533371.22</c:v>
                </c:pt>
                <c:pt idx="43">
                  <c:v>3605067.22</c:v>
                </c:pt>
                <c:pt idx="44">
                  <c:v>3550067.22</c:v>
                </c:pt>
                <c:pt idx="45">
                  <c:v>3478371.22</c:v>
                </c:pt>
                <c:pt idx="46">
                  <c:v>3275457.48</c:v>
                </c:pt>
                <c:pt idx="47">
                  <c:v>3524107.08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'IMPAYES 2020-2021-2022'!$D$51</c:f>
              <c:strCache>
                <c:ptCount val="1"/>
                <c:pt idx="0">
                  <c:v> IMPAYES DIRECTION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'IMPAYES 2020-2021-2022'!$E$51</c:f>
              <c:strCache>
                <c:ptCount val="1"/>
                <c:pt idx="0">
                  <c:v>IMPAYES FAYCAL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2020-2021-2022'!$E$52:$E$70</c:f>
              <c:numCache>
                <c:formatCode>#,##0.00</c:formatCode>
                <c:ptCount val="19"/>
                <c:pt idx="0">
                  <c:v>1093381.26</c:v>
                </c:pt>
                <c:pt idx="1">
                  <c:v>1551831.26</c:v>
                </c:pt>
                <c:pt idx="2">
                  <c:v>1584874.31</c:v>
                </c:pt>
                <c:pt idx="3">
                  <c:v>1708526.27</c:v>
                </c:pt>
                <c:pt idx="4">
                  <c:v>1068803.22</c:v>
                </c:pt>
                <c:pt idx="5">
                  <c:v>1015233.66</c:v>
                </c:pt>
                <c:pt idx="6">
                  <c:v>1005475.66</c:v>
                </c:pt>
                <c:pt idx="7">
                  <c:v>1222973.66</c:v>
                </c:pt>
                <c:pt idx="8">
                  <c:v>1134669.35</c:v>
                </c:pt>
                <c:pt idx="9">
                  <c:v>1172073.2</c:v>
                </c:pt>
                <c:pt idx="10">
                  <c:v>976554.8</c:v>
                </c:pt>
                <c:pt idx="11">
                  <c:v>939150.95</c:v>
                </c:pt>
                <c:pt idx="12">
                  <c:v>1000475.45</c:v>
                </c:pt>
                <c:pt idx="13">
                  <c:v>1176375.45</c:v>
                </c:pt>
                <c:pt idx="14">
                  <c:v>996375.45</c:v>
                </c:pt>
                <c:pt idx="15">
                  <c:v>1153177.81</c:v>
                </c:pt>
                <c:pt idx="16">
                  <c:v>1198057.81</c:v>
                </c:pt>
                <c:pt idx="17">
                  <c:v>1198057.81</c:v>
                </c:pt>
                <c:pt idx="18">
                  <c:v>1248655.96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'IMPAYES 2020-2021-2022'!$F$51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'IMPAYES 2020-2021-2022'!$G$51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'IMPAYES 2020-2021-2022'!$H$51</c:f>
              <c:strCache>
                <c:ptCount val="1"/>
                <c:pt idx="0">
                  <c:v> IMPAYES NAOUFAL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2020-2021-2022'!$H$52:$H$99</c:f>
              <c:numCache>
                <c:formatCode>#,##0.00</c:formatCode>
                <c:ptCount val="48"/>
                <c:pt idx="0">
                  <c:v>579371.56</c:v>
                </c:pt>
                <c:pt idx="1">
                  <c:v>579371.59</c:v>
                </c:pt>
                <c:pt idx="2">
                  <c:v>607371.56</c:v>
                </c:pt>
                <c:pt idx="3">
                  <c:v>664371.56</c:v>
                </c:pt>
                <c:pt idx="4">
                  <c:v>664371.56</c:v>
                </c:pt>
                <c:pt idx="5">
                  <c:v>785838.4</c:v>
                </c:pt>
                <c:pt idx="6">
                  <c:v>1186871.45</c:v>
                </c:pt>
                <c:pt idx="7">
                  <c:v>1264449.51</c:v>
                </c:pt>
                <c:pt idx="8">
                  <c:v>1278449.51</c:v>
                </c:pt>
                <c:pt idx="9">
                  <c:v>1249949.51</c:v>
                </c:pt>
                <c:pt idx="10">
                  <c:v>1589945.65</c:v>
                </c:pt>
                <c:pt idx="11">
                  <c:v>1350087.51</c:v>
                </c:pt>
                <c:pt idx="12">
                  <c:v>1634789.51</c:v>
                </c:pt>
                <c:pt idx="13">
                  <c:v>1484789.51</c:v>
                </c:pt>
                <c:pt idx="14">
                  <c:v>1443869.51</c:v>
                </c:pt>
                <c:pt idx="15">
                  <c:v>1459036.22</c:v>
                </c:pt>
                <c:pt idx="16">
                  <c:v>1259862.22</c:v>
                </c:pt>
                <c:pt idx="17">
                  <c:v>1231704.22</c:v>
                </c:pt>
                <c:pt idx="18">
                  <c:v>1338084.22</c:v>
                </c:pt>
                <c:pt idx="19">
                  <c:v>1380978.82</c:v>
                </c:pt>
                <c:pt idx="20">
                  <c:v>1262757.93</c:v>
                </c:pt>
                <c:pt idx="21">
                  <c:v>1322757.93</c:v>
                </c:pt>
                <c:pt idx="22">
                  <c:v>1290717.93</c:v>
                </c:pt>
                <c:pt idx="23">
                  <c:v>1284987.93</c:v>
                </c:pt>
                <c:pt idx="24">
                  <c:v>1284987.93</c:v>
                </c:pt>
                <c:pt idx="25">
                  <c:v>1230818.74</c:v>
                </c:pt>
                <c:pt idx="26">
                  <c:v>1391347.5</c:v>
                </c:pt>
                <c:pt idx="27">
                  <c:v>1082481.55</c:v>
                </c:pt>
                <c:pt idx="28">
                  <c:v>1289061.55</c:v>
                </c:pt>
                <c:pt idx="29">
                  <c:v>1671496.55</c:v>
                </c:pt>
                <c:pt idx="30">
                  <c:v>1805995.07</c:v>
                </c:pt>
                <c:pt idx="31">
                  <c:v>2320885.99</c:v>
                </c:pt>
                <c:pt idx="32">
                  <c:v>1947136.57</c:v>
                </c:pt>
                <c:pt idx="33">
                  <c:v>2256497.57</c:v>
                </c:pt>
                <c:pt idx="34">
                  <c:v>2430297.57</c:v>
                </c:pt>
                <c:pt idx="35">
                  <c:v>2662599.38</c:v>
                </c:pt>
                <c:pt idx="36">
                  <c:v>2798408.45</c:v>
                </c:pt>
                <c:pt idx="37">
                  <c:v>2700735.44</c:v>
                </c:pt>
                <c:pt idx="38">
                  <c:v>2843527.44</c:v>
                </c:pt>
                <c:pt idx="39">
                  <c:v>3476870.81</c:v>
                </c:pt>
                <c:pt idx="40">
                  <c:v>3652642.38</c:v>
                </c:pt>
                <c:pt idx="41">
                  <c:v>3745758.38</c:v>
                </c:pt>
                <c:pt idx="42">
                  <c:v>3948158.38</c:v>
                </c:pt>
                <c:pt idx="43">
                  <c:v>4104083.16</c:v>
                </c:pt>
                <c:pt idx="44">
                  <c:v>4314258.55</c:v>
                </c:pt>
                <c:pt idx="45">
                  <c:v>4234758.55</c:v>
                </c:pt>
                <c:pt idx="46">
                  <c:v>4245858.55</c:v>
                </c:pt>
                <c:pt idx="47">
                  <c:v>4261045.55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'IMPAYES 2020-2021-2022'!$I$51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'IMPAYES 2020-2021-2022'!$J$51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'IMPAYES 2020-2021-2022'!$K$51</c:f>
              <c:strCache>
                <c:ptCount val="1"/>
                <c:pt idx="0">
                  <c:v> IMPAYES FAHD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'IMPAYES 2020-2021-2022'!$L$51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'IMPAYES 2020-2021-2022'!$M$51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'IMPAYES 2020-2021-2022'!$N$51</c:f>
              <c:strCache>
                <c:ptCount val="1"/>
                <c:pt idx="0">
                  <c:v> IMPAYES GII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2020-2021-2022'!$N$52:$N$99</c:f>
              <c:numCache>
                <c:formatCode>#,##0.00</c:formatCode>
                <c:ptCount val="48"/>
                <c:pt idx="0">
                  <c:v>2080615.68</c:v>
                </c:pt>
                <c:pt idx="1">
                  <c:v>1981835.66</c:v>
                </c:pt>
                <c:pt idx="2">
                  <c:v>1981835.66</c:v>
                </c:pt>
                <c:pt idx="3">
                  <c:v>2002546.56</c:v>
                </c:pt>
                <c:pt idx="4">
                  <c:v>2015999.36</c:v>
                </c:pt>
                <c:pt idx="5">
                  <c:v>2085999.36</c:v>
                </c:pt>
                <c:pt idx="6">
                  <c:v>2098412.36</c:v>
                </c:pt>
                <c:pt idx="7">
                  <c:v>2176530.43</c:v>
                </c:pt>
                <c:pt idx="8">
                  <c:v>2170520.43</c:v>
                </c:pt>
                <c:pt idx="9">
                  <c:v>2036008.11</c:v>
                </c:pt>
                <c:pt idx="10">
                  <c:v>2043733.11</c:v>
                </c:pt>
                <c:pt idx="11">
                  <c:v>2059309.23</c:v>
                </c:pt>
                <c:pt idx="12">
                  <c:v>2045807.77</c:v>
                </c:pt>
                <c:pt idx="13">
                  <c:v>2093740.74</c:v>
                </c:pt>
                <c:pt idx="14">
                  <c:v>2089971.74</c:v>
                </c:pt>
                <c:pt idx="15">
                  <c:v>1979431.74</c:v>
                </c:pt>
                <c:pt idx="16">
                  <c:v>2132257.77</c:v>
                </c:pt>
                <c:pt idx="17">
                  <c:v>2132257.77</c:v>
                </c:pt>
                <c:pt idx="18">
                  <c:v>1995257.77</c:v>
                </c:pt>
                <c:pt idx="19">
                  <c:v>1995257.77</c:v>
                </c:pt>
                <c:pt idx="20">
                  <c:v>2105797.77</c:v>
                </c:pt>
                <c:pt idx="21">
                  <c:v>2141433.77</c:v>
                </c:pt>
                <c:pt idx="22">
                  <c:v>2051466.31</c:v>
                </c:pt>
                <c:pt idx="23">
                  <c:v>2176980.31</c:v>
                </c:pt>
                <c:pt idx="24">
                  <c:v>2176980.31</c:v>
                </c:pt>
                <c:pt idx="25">
                  <c:v>2143819.31</c:v>
                </c:pt>
                <c:pt idx="26">
                  <c:v>2199436.31</c:v>
                </c:pt>
                <c:pt idx="27">
                  <c:v>2193807.1</c:v>
                </c:pt>
                <c:pt idx="28">
                  <c:v>2163807.1</c:v>
                </c:pt>
                <c:pt idx="29">
                  <c:v>2060421.58</c:v>
                </c:pt>
                <c:pt idx="30">
                  <c:v>2095421.58</c:v>
                </c:pt>
                <c:pt idx="31">
                  <c:v>2102216.58</c:v>
                </c:pt>
                <c:pt idx="32">
                  <c:v>2060299.58</c:v>
                </c:pt>
                <c:pt idx="33">
                  <c:v>2060299.58</c:v>
                </c:pt>
                <c:pt idx="34">
                  <c:v>2050299.58</c:v>
                </c:pt>
                <c:pt idx="35">
                  <c:v>2064862.75</c:v>
                </c:pt>
                <c:pt idx="36">
                  <c:v>1969862.75</c:v>
                </c:pt>
                <c:pt idx="37">
                  <c:v>1966418.92</c:v>
                </c:pt>
                <c:pt idx="38">
                  <c:v>1966418.92</c:v>
                </c:pt>
                <c:pt idx="39">
                  <c:v>1976418.92</c:v>
                </c:pt>
                <c:pt idx="40">
                  <c:v>1984801.92</c:v>
                </c:pt>
                <c:pt idx="41">
                  <c:v>2001601.92</c:v>
                </c:pt>
                <c:pt idx="42">
                  <c:v>2045594.27</c:v>
                </c:pt>
                <c:pt idx="43">
                  <c:v>1892743.52</c:v>
                </c:pt>
                <c:pt idx="44">
                  <c:v>2008457.9</c:v>
                </c:pt>
                <c:pt idx="45">
                  <c:v>2008457.9</c:v>
                </c:pt>
                <c:pt idx="46">
                  <c:v>2020799.05</c:v>
                </c:pt>
                <c:pt idx="47">
                  <c:v>1972303.3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'IMPAYES 2020-2021-2022'!$O$51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'IMPAYES 2020-2021-2022'!$P$51</c:f>
              <c:strCache>
                <c:ptCount val="1"/>
                <c:pt idx="0">
                  <c:v>IMPAYES LAHCEN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'IMPAYES 2020-2021-2022'!$Q$51</c:f>
              <c:strCache>
                <c:ptCount val="1"/>
                <c:pt idx="0">
                  <c:v>IMPAYES RACHID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2020-2021-2022'!$Q$52:$Q$99</c:f>
              <c:numCache>
                <c:formatCode>#,##0.00</c:formatCode>
                <c:ptCount val="48"/>
                <c:pt idx="0">
                  <c:v>1487817.52</c:v>
                </c:pt>
                <c:pt idx="1">
                  <c:v>1617817.52</c:v>
                </c:pt>
                <c:pt idx="2">
                  <c:v>1490150.02</c:v>
                </c:pt>
                <c:pt idx="3">
                  <c:v>1443150.02</c:v>
                </c:pt>
                <c:pt idx="4">
                  <c:v>1473552.73</c:v>
                </c:pt>
                <c:pt idx="5">
                  <c:v>1493552.73</c:v>
                </c:pt>
                <c:pt idx="6">
                  <c:v>1513462.73</c:v>
                </c:pt>
                <c:pt idx="7">
                  <c:v>1407062.73</c:v>
                </c:pt>
                <c:pt idx="8">
                  <c:v>1420262.73</c:v>
                </c:pt>
                <c:pt idx="9">
                  <c:v>1401302.73</c:v>
                </c:pt>
                <c:pt idx="10">
                  <c:v>1254392.73</c:v>
                </c:pt>
                <c:pt idx="11">
                  <c:v>1304250.73</c:v>
                </c:pt>
                <c:pt idx="12">
                  <c:v>1350149.73</c:v>
                </c:pt>
                <c:pt idx="13">
                  <c:v>1365149.73</c:v>
                </c:pt>
                <c:pt idx="14">
                  <c:v>1340051.73</c:v>
                </c:pt>
                <c:pt idx="15">
                  <c:v>1280051.73</c:v>
                </c:pt>
                <c:pt idx="16">
                  <c:v>1330051.73</c:v>
                </c:pt>
                <c:pt idx="17">
                  <c:v>1280051.73</c:v>
                </c:pt>
                <c:pt idx="18">
                  <c:v>1416616.73</c:v>
                </c:pt>
                <c:pt idx="19">
                  <c:v>1350116.73</c:v>
                </c:pt>
                <c:pt idx="20">
                  <c:v>1389716.73</c:v>
                </c:pt>
                <c:pt idx="21">
                  <c:v>1394916.73</c:v>
                </c:pt>
                <c:pt idx="22">
                  <c:v>1459716.73</c:v>
                </c:pt>
                <c:pt idx="23">
                  <c:v>1624916.73</c:v>
                </c:pt>
                <c:pt idx="24">
                  <c:v>1625616.73</c:v>
                </c:pt>
                <c:pt idx="25">
                  <c:v>1635616.73</c:v>
                </c:pt>
                <c:pt idx="26">
                  <c:v>1950616.73</c:v>
                </c:pt>
                <c:pt idx="27">
                  <c:v>2172846.73</c:v>
                </c:pt>
                <c:pt idx="28">
                  <c:v>1799623.39</c:v>
                </c:pt>
                <c:pt idx="29">
                  <c:v>1941566.73</c:v>
                </c:pt>
                <c:pt idx="30">
                  <c:v>1903230.73</c:v>
                </c:pt>
                <c:pt idx="31">
                  <c:v>1781987.39</c:v>
                </c:pt>
                <c:pt idx="32">
                  <c:v>1705323.39</c:v>
                </c:pt>
                <c:pt idx="33">
                  <c:v>1827287.39</c:v>
                </c:pt>
                <c:pt idx="34">
                  <c:v>1736034.38</c:v>
                </c:pt>
                <c:pt idx="35">
                  <c:v>1779534.38</c:v>
                </c:pt>
                <c:pt idx="36">
                  <c:v>1285797.39</c:v>
                </c:pt>
                <c:pt idx="37">
                  <c:v>1295797.39</c:v>
                </c:pt>
                <c:pt idx="38">
                  <c:v>1265797.39</c:v>
                </c:pt>
                <c:pt idx="39">
                  <c:v>1384961.39</c:v>
                </c:pt>
                <c:pt idx="40">
                  <c:v>1384961.39</c:v>
                </c:pt>
                <c:pt idx="41">
                  <c:v>1349961.39</c:v>
                </c:pt>
                <c:pt idx="42">
                  <c:v>1410961.39</c:v>
                </c:pt>
                <c:pt idx="43">
                  <c:v>1410961.39</c:v>
                </c:pt>
                <c:pt idx="44">
                  <c:v>1447961.39</c:v>
                </c:pt>
                <c:pt idx="45">
                  <c:v>1479362.39</c:v>
                </c:pt>
                <c:pt idx="46">
                  <c:v>1479362.39</c:v>
                </c:pt>
                <c:pt idx="47">
                  <c:v>1508678.14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'IMPAYES 2020-2021-2022'!$R$51</c:f>
              <c:strCache>
                <c:ptCount val="1"/>
                <c:pt idx="0">
                  <c:v>IMPAYES OUSSAMA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'IMPAYES 2020-2021-2022'!$A$52:$A$99</c:f>
              <c:strCache>
                <c:ptCount val="48"/>
                <c:pt idx="0" c:formatCode="dd/mm/yy;@">
                  <c:v>AU 02/05/2025</c:v>
                </c:pt>
                <c:pt idx="1" c:formatCode="dd/mm/yy;@">
                  <c:v>AU 15/05/2025</c:v>
                </c:pt>
                <c:pt idx="2" c:formatCode="dd/mm/yy;@">
                  <c:v>AU 22/05/2025</c:v>
                </c:pt>
                <c:pt idx="3" c:formatCode="dd/mm/yy;@">
                  <c:v>AU 29/05/2025</c:v>
                </c:pt>
                <c:pt idx="4" c:formatCode="dd/mm/yy;@">
                  <c:v>AU 12/06/2025</c:v>
                </c:pt>
                <c:pt idx="5" c:formatCode="dd/mm/yy;@">
                  <c:v>AU 19/06/2025</c:v>
                </c:pt>
                <c:pt idx="6" c:formatCode="dd/mm/yy;@">
                  <c:v>AU 04/07/2025</c:v>
                </c:pt>
                <c:pt idx="7" c:formatCode="dd/mm/yy;@">
                  <c:v>AU 10/07/2025</c:v>
                </c:pt>
                <c:pt idx="8" c:formatCode="dd/mm/yy;@">
                  <c:v>AU 18/07/25</c:v>
                </c:pt>
                <c:pt idx="9" c:formatCode="dd/mm/yy;@">
                  <c:v>AU 25/07/2025</c:v>
                </c:pt>
                <c:pt idx="10" c:formatCode="dd/mm/yy;@">
                  <c:v>AU 11/08/2025</c:v>
                </c:pt>
                <c:pt idx="11" c:formatCode="dd/mm/yy;@">
                  <c:v>AU 22/08/2025</c:v>
                </c:pt>
                <c:pt idx="12" c:formatCode="dd/mm/yy;@">
                  <c:v>AU 19/09/2025</c:v>
                </c:pt>
                <c:pt idx="13" c:formatCode="dd/mm/yy;@">
                  <c:v>AU 25/09/2025</c:v>
                </c:pt>
                <c:pt idx="14" c:formatCode="dd/mm/yy;@">
                  <c:v>AU 03/10/2025</c:v>
                </c:pt>
                <c:pt idx="15" c:formatCode="dd/mm/yy;@">
                  <c:v>AU 10/10/2025</c:v>
                </c:pt>
                <c:pt idx="16" c:formatCode="dd/mm/yy;@">
                  <c:v>AU 17/10/2025</c:v>
                </c:pt>
                <c:pt idx="17" c:formatCode="dd/mm/yy;@">
                  <c:v>AU 22/10/2025</c:v>
                </c:pt>
                <c:pt idx="18" c:formatCode="dd/mm/yy;@">
                  <c:v>AU 31/10/2025</c:v>
                </c:pt>
                <c:pt idx="19" c:formatCode="dd/mm/yy;@">
                  <c:v>AU 07/11/2025</c:v>
                </c:pt>
                <c:pt idx="20" c:formatCode="dd/mm/yy;@">
                  <c:v>AU 14/11/2025</c:v>
                </c:pt>
                <c:pt idx="21" c:formatCode="dd/mm/yy;@">
                  <c:v>AU 21/11/2025</c:v>
                </c:pt>
                <c:pt idx="22" c:formatCode="dd/mm/yy;@">
                  <c:v>AU 28/11/2025</c:v>
                </c:pt>
                <c:pt idx="23" c:formatCode="dd/mm/yy;@">
                  <c:v>AU 05/12/2025</c:v>
                </c:pt>
                <c:pt idx="24" c:formatCode="dd/mm/yy;@">
                  <c:v>AU 12/12/2025</c:v>
                </c:pt>
                <c:pt idx="25" c:formatCode="dd/mm/yy;@">
                  <c:v>AU 19/12/2025</c:v>
                </c:pt>
                <c:pt idx="26" c:formatCode="dd/mm/yy;@">
                  <c:v>AU 26/12/2025</c:v>
                </c:pt>
                <c:pt idx="27" c:formatCode="dd/mm/yy;@">
                  <c:v>AU 08/01/2026</c:v>
                </c:pt>
                <c:pt idx="28" c:formatCode="dd/mm/yy;@">
                  <c:v>AU 20/01/26</c:v>
                </c:pt>
                <c:pt idx="29" c:formatCode="dd/mm/yy;@">
                  <c:v>AU 29/1/2026</c:v>
                </c:pt>
                <c:pt idx="30" c:formatCode="dd/mm/yy;@">
                  <c:v>AU 13/02/2026</c:v>
                </c:pt>
                <c:pt idx="31" c:formatCode="dd/mm/yy;@">
                  <c:v>AU 27/02/26</c:v>
                </c:pt>
                <c:pt idx="32" c:formatCode="dd/mm/yy;@">
                  <c:v>AU 06/03/2026</c:v>
                </c:pt>
                <c:pt idx="33" c:formatCode="dd/mm/yy;@">
                  <c:v>AU 13/03/2026</c:v>
                </c:pt>
                <c:pt idx="34" c:formatCode="dd/mm/yy;@">
                  <c:v>AU 02/04/2026</c:v>
                </c:pt>
                <c:pt idx="35" c:formatCode="dd/mm/yy;@">
                  <c:v>AU 13/04/2026</c:v>
                </c:pt>
                <c:pt idx="36" c:formatCode="dd/mm/yy;@">
                  <c:v>AU 24/04/2026</c:v>
                </c:pt>
                <c:pt idx="37" c:formatCode="dd/mm/yy;@">
                  <c:v>AU 08/05/2026</c:v>
                </c:pt>
                <c:pt idx="38" c:formatCode="dd/mm/yy;@">
                  <c:v>AU 15/05/2026</c:v>
                </c:pt>
                <c:pt idx="39" c:formatCode="dd/mm/yy;@">
                  <c:v>AU 04/06/26</c:v>
                </c:pt>
                <c:pt idx="40" c:formatCode="dd/mm/yy;@">
                  <c:v>AU 12/06/2026</c:v>
                </c:pt>
                <c:pt idx="41" c:formatCode="dd/mm/yy;@">
                  <c:v>AU 19/06/2026</c:v>
                </c:pt>
                <c:pt idx="42" c:formatCode="dd/mm/yy;@">
                  <c:v>AU 26/06/2026</c:v>
                </c:pt>
                <c:pt idx="43" c:formatCode="dd/mm/yy;@">
                  <c:v>AU 03/07/2026</c:v>
                </c:pt>
                <c:pt idx="44" c:formatCode="dd/mm/yy;@">
                  <c:v>AU 10/07/2026</c:v>
                </c:pt>
                <c:pt idx="45" c:formatCode="dd/mm/yy;@">
                  <c:v>AU 17/07/2026</c:v>
                </c:pt>
                <c:pt idx="46" c:formatCode="dd/mm/yy;@">
                  <c:v>AU 24/07/2026</c:v>
                </c:pt>
                <c:pt idx="47" c:formatCode="dd/mm/yy;@">
                  <c:v>AU 31/07/2026</c:v>
                </c:pt>
              </c:strCache>
            </c:strRef>
          </c:cat>
          <c:val>
            <c:numRef>
              <c:f>'IMPAYES 2020-2021-2022'!$R$52:$R$99</c:f>
              <c:numCache>
                <c:formatCode>#,##0.00</c:formatCode>
                <c:ptCount val="48"/>
                <c:pt idx="0">
                  <c:v>37746.58</c:v>
                </c:pt>
                <c:pt idx="1">
                  <c:v>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22700</c:v>
                </c:pt>
                <c:pt idx="11">
                  <c:v>22700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87000</c:v>
                </c:pt>
                <c:pt idx="21">
                  <c:v>0</c:v>
                </c:pt>
                <c:pt idx="22">
                  <c:v>29894.72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24000</c:v>
                </c:pt>
                <c:pt idx="33">
                  <c:v>24000</c:v>
                </c:pt>
                <c:pt idx="34">
                  <c:v>25000</c:v>
                </c:pt>
                <c:pt idx="35">
                  <c:v>23750</c:v>
                </c:pt>
                <c:pt idx="36">
                  <c:v>47500</c:v>
                </c:pt>
                <c:pt idx="37">
                  <c:v>23750</c:v>
                </c:pt>
                <c:pt idx="38">
                  <c:v>23750</c:v>
                </c:pt>
                <c:pt idx="39">
                  <c:v>0</c:v>
                </c:pt>
                <c:pt idx="40">
                  <c:v>0</c:v>
                </c:pt>
                <c:pt idx="41">
                  <c:v>54000</c:v>
                </c:pt>
                <c:pt idx="42">
                  <c:v>0</c:v>
                </c:pt>
                <c:pt idx="43">
                  <c:v>12474</c:v>
                </c:pt>
                <c:pt idx="44">
                  <c:v>34541.03</c:v>
                </c:pt>
                <c:pt idx="45">
                  <c:v>12474</c:v>
                </c:pt>
                <c:pt idx="46">
                  <c:v>12474</c:v>
                </c:pt>
                <c:pt idx="47">
                  <c:v>12474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524832"/>
        <c:axId val="503283592"/>
      </c:lineChart>
      <c:catAx>
        <c:axId val="5045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283592"/>
        <c:crossesAt val="200000"/>
        <c:auto val="1"/>
        <c:lblAlgn val="ctr"/>
        <c:lblOffset val="100"/>
        <c:noMultiLvlLbl val="0"/>
      </c:catAx>
      <c:valAx>
        <c:axId val="50328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524832"/>
        <c:crosses val="autoZero"/>
        <c:crossBetween val="between"/>
        <c:minorUnit val="100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ed45ce-df68-4075-91ad-3aeb9c9aaa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IMPAYES NABIL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0225561675293"/>
          <c:y val="0.0803409883093867"/>
          <c:w val="0.897506121989806"/>
          <c:h val="0.7819294525222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NABIL!$B$280:$E$369</c:f>
              <c:multiLvlStrCache>
                <c:ptCount val="90"/>
                <c:lvl/>
                <c:lvl>
                  <c:pt idx="0" c:formatCode="#,##0.00">
                    <c:v>10208118.86</c:v>
                  </c:pt>
                  <c:pt idx="1" c:formatCode="#,##0.00">
                    <c:v>9954410.77</c:v>
                  </c:pt>
                  <c:pt idx="2" c:formatCode="#,##0.00">
                    <c:v>9202579.18</c:v>
                  </c:pt>
                  <c:pt idx="3" c:formatCode="#,##0.00">
                    <c:v>9658864.96</c:v>
                  </c:pt>
                  <c:pt idx="4" c:formatCode="#,##0.00">
                    <c:v>10240268.61</c:v>
                  </c:pt>
                  <c:pt idx="5" c:formatCode="#,##0.00">
                    <c:v>10441447.06</c:v>
                  </c:pt>
                  <c:pt idx="6" c:formatCode="#,##0.00">
                    <c:v>9851635.06</c:v>
                  </c:pt>
                  <c:pt idx="7" c:formatCode="#,##0.00">
                    <c:v>10125616.33</c:v>
                  </c:pt>
                  <c:pt idx="8" c:formatCode="#,##0.00">
                    <c:v>10230662.65</c:v>
                  </c:pt>
                  <c:pt idx="9" c:formatCode="#,##0.00">
                    <c:v>10845171.9</c:v>
                  </c:pt>
                  <c:pt idx="10" c:formatCode="#,##0.00">
                    <c:v>11629804.08</c:v>
                  </c:pt>
                  <c:pt idx="11" c:formatCode="#,##0.00">
                    <c:v>11925099.2</c:v>
                  </c:pt>
                  <c:pt idx="12" c:formatCode="#,##0.00">
                    <c:v>12464577.84</c:v>
                  </c:pt>
                  <c:pt idx="13" c:formatCode="#,##0.00">
                    <c:v>12738234.7</c:v>
                  </c:pt>
                  <c:pt idx="14" c:formatCode="#,##0.00">
                    <c:v>12541255.77</c:v>
                  </c:pt>
                  <c:pt idx="15" c:formatCode="#,##0.00">
                    <c:v>11576422.6</c:v>
                  </c:pt>
                  <c:pt idx="16" c:formatCode="#,##0.00">
                    <c:v>10567571.23</c:v>
                  </c:pt>
                  <c:pt idx="17" c:formatCode="#,##0.00">
                    <c:v>10706853.24</c:v>
                  </c:pt>
                  <c:pt idx="18" c:formatCode="#,##0.00">
                    <c:v>10554657.29</c:v>
                  </c:pt>
                  <c:pt idx="19" c:formatCode="#,##0.00">
                    <c:v>10757206.52</c:v>
                  </c:pt>
                  <c:pt idx="20" c:formatCode="#,##0.00">
                    <c:v>10779986.27</c:v>
                  </c:pt>
                  <c:pt idx="21" c:formatCode="#,##0.00">
                    <c:v>10726483.18</c:v>
                  </c:pt>
                  <c:pt idx="22" c:formatCode="#,##0.00">
                    <c:v>11039993.35</c:v>
                  </c:pt>
                  <c:pt idx="23" c:formatCode="#,##0.00">
                    <c:v>11027675.57</c:v>
                  </c:pt>
                  <c:pt idx="24" c:formatCode="#,##0.00">
                    <c:v>10583788.17</c:v>
                  </c:pt>
                  <c:pt idx="25" c:formatCode="#,##0.00">
                    <c:v>9862137.9</c:v>
                  </c:pt>
                  <c:pt idx="26" c:formatCode="#,##0.00">
                    <c:v>9779642.66</c:v>
                  </c:pt>
                  <c:pt idx="27" c:formatCode="#,##0.00">
                    <c:v>9318597.83</c:v>
                  </c:pt>
                  <c:pt idx="28" c:formatCode="#,##0.00">
                    <c:v>10052161.4</c:v>
                  </c:pt>
                  <c:pt idx="29" c:formatCode="#,##0.00">
                    <c:v>9732515.05</c:v>
                  </c:pt>
                  <c:pt idx="30" c:formatCode="#,##0.00">
                    <c:v>10339349.86</c:v>
                  </c:pt>
                  <c:pt idx="31" c:formatCode="#,##0.00">
                    <c:v>11006009.61</c:v>
                  </c:pt>
                  <c:pt idx="32" c:formatCode="#,##0.00">
                    <c:v>10969037.61</c:v>
                  </c:pt>
                  <c:pt idx="33" c:formatCode="#,##0.00">
                    <c:v>12068185.3</c:v>
                  </c:pt>
                  <c:pt idx="34" c:formatCode="#,##0.00">
                    <c:v>12680441.57</c:v>
                  </c:pt>
                  <c:pt idx="35" c:formatCode="#,##0.00">
                    <c:v>13268369.52</c:v>
                  </c:pt>
                  <c:pt idx="36" c:formatCode="#,##0.00">
                    <c:v>13627565.53</c:v>
                  </c:pt>
                  <c:pt idx="37" c:formatCode="#,##0.00">
                    <c:v>13429649.65</c:v>
                  </c:pt>
                  <c:pt idx="38" c:formatCode="#,##0.00">
                    <c:v>10317793.04</c:v>
                  </c:pt>
                  <c:pt idx="39" c:formatCode="#,##0.00">
                    <c:v>10839775.96</c:v>
                  </c:pt>
                  <c:pt idx="40" c:formatCode="#,##0.00">
                    <c:v>10751775.96</c:v>
                  </c:pt>
                  <c:pt idx="41" c:formatCode="#,##0.00">
                    <c:v>11233169.19</c:v>
                  </c:pt>
                  <c:pt idx="42" c:formatCode="#,##0.00">
                    <c:v>10471930.22</c:v>
                  </c:pt>
                  <c:pt idx="43" c:formatCode="#,##0.00">
                    <c:v>10929704.68</c:v>
                  </c:pt>
                  <c:pt idx="44" c:formatCode="#,##0.00">
                    <c:v>11167822.16</c:v>
                  </c:pt>
                  <c:pt idx="45" c:formatCode="#,##0.00">
                    <c:v>12089610.04</c:v>
                  </c:pt>
                  <c:pt idx="46" c:formatCode="#,##0.00">
                    <c:v>11006950.55</c:v>
                  </c:pt>
                  <c:pt idx="47" c:formatCode="#,##0.00">
                    <c:v>10947363.61</c:v>
                  </c:pt>
                  <c:pt idx="48" c:formatCode="#,##0.00">
                    <c:v>11351490.6</c:v>
                  </c:pt>
                  <c:pt idx="49" c:formatCode="#,##0.00">
                    <c:v>11339356.44</c:v>
                  </c:pt>
                  <c:pt idx="50" c:formatCode="#,##0.00">
                    <c:v>11660099.12</c:v>
                  </c:pt>
                  <c:pt idx="51" c:formatCode="#,##0.00">
                    <c:v>12098509.34</c:v>
                  </c:pt>
                  <c:pt idx="52" c:formatCode="#,##0.00">
                    <c:v>12550687.96</c:v>
                  </c:pt>
                  <c:pt idx="53" c:formatCode="#,##0.00">
                    <c:v>12279855.23</c:v>
                  </c:pt>
                  <c:pt idx="54" c:formatCode="#,##0.00">
                    <c:v>11964133.77</c:v>
                  </c:pt>
                  <c:pt idx="55" c:formatCode="#,##0.00">
                    <c:v>11617239.59</c:v>
                  </c:pt>
                  <c:pt idx="56" c:formatCode="#,##0.00">
                    <c:v>12291000.23</c:v>
                  </c:pt>
                  <c:pt idx="57" c:formatCode="#,##0.00">
                    <c:v>12133152.89</c:v>
                  </c:pt>
                  <c:pt idx="58" c:formatCode="#,##0.00">
                    <c:v>11379126.67</c:v>
                  </c:pt>
                  <c:pt idx="59" c:formatCode="#,##0.00">
                    <c:v>11515385.92</c:v>
                  </c:pt>
                  <c:pt idx="60" c:formatCode="#,##0.00">
                    <c:v>11964830.95</c:v>
                  </c:pt>
                  <c:pt idx="61" c:formatCode="#,##0.00">
                    <c:v>11921828.96</c:v>
                  </c:pt>
                  <c:pt idx="62" c:formatCode="#,##0.00">
                    <c:v>12573627.48</c:v>
                  </c:pt>
                  <c:pt idx="63" c:formatCode="#,##0.00">
                    <c:v>12579775.08</c:v>
                  </c:pt>
                  <c:pt idx="64" c:formatCode="#,##0.00">
                    <c:v>12228921.43</c:v>
                  </c:pt>
                  <c:pt idx="65" c:formatCode="#,##0.00">
                    <c:v>12428476.71</c:v>
                  </c:pt>
                  <c:pt idx="66" c:formatCode="#,##0.00">
                    <c:v>12510938.95</c:v>
                  </c:pt>
                  <c:pt idx="67" c:formatCode="#,##0.00">
                    <c:v>13029075.59</c:v>
                  </c:pt>
                  <c:pt idx="68" c:formatCode="#,##0.00">
                    <c:v>12651514.47</c:v>
                  </c:pt>
                  <c:pt idx="69" c:formatCode="#,##0.00">
                    <c:v>12803409.97</c:v>
                  </c:pt>
                  <c:pt idx="70" c:formatCode="#,##0.00">
                    <c:v>12908817.62</c:v>
                  </c:pt>
                  <c:pt idx="71" c:formatCode="#,##0.00">
                    <c:v>12458351.68</c:v>
                  </c:pt>
                  <c:pt idx="72" c:formatCode="#,##0.00">
                    <c:v>11614484.8</c:v>
                  </c:pt>
                  <c:pt idx="73" c:formatCode="#,##0.00">
                    <c:v>11386352.41</c:v>
                  </c:pt>
                  <c:pt idx="74" c:formatCode="#,##0.00">
                    <c:v>11089687.68</c:v>
                  </c:pt>
                  <c:pt idx="75" c:formatCode="#,##0.00">
                    <c:v>11111790.94</c:v>
                  </c:pt>
                  <c:pt idx="76" c:formatCode="#,##0.00">
                    <c:v>11603166.15</c:v>
                  </c:pt>
                  <c:pt idx="77" c:formatCode="#,##0.00">
                    <c:v>12050204.24</c:v>
                  </c:pt>
                  <c:pt idx="78" c:formatCode="#,##0.00">
                    <c:v>12065976.59</c:v>
                  </c:pt>
                  <c:pt idx="79" c:formatCode="#,##0.00">
                    <c:v>11981768.8</c:v>
                  </c:pt>
                  <c:pt idx="80" c:formatCode="#,##0.00">
                    <c:v>11889039.4</c:v>
                  </c:pt>
                  <c:pt idx="81" c:formatCode="#,##0.00">
                    <c:v>11435663.47</c:v>
                  </c:pt>
                  <c:pt idx="82" c:formatCode="#,##0.00">
                    <c:v>12052234.55</c:v>
                  </c:pt>
                  <c:pt idx="83" c:formatCode="#,##0.00">
                    <c:v>12235593.27</c:v>
                  </c:pt>
                  <c:pt idx="84" c:formatCode="#,##0.00">
                    <c:v>13149807.18</c:v>
                  </c:pt>
                  <c:pt idx="85" c:formatCode="#,##0.00">
                    <c:v>13209397.46</c:v>
                  </c:pt>
                  <c:pt idx="86" c:formatCode="#,##0.00">
                    <c:v>13502618.83</c:v>
                  </c:pt>
                  <c:pt idx="87" c:formatCode="#,##0.00">
                    <c:v>12711490.32</c:v>
                  </c:pt>
                  <c:pt idx="88" c:formatCode="#,##0.00">
                    <c:v>12643240.92</c:v>
                  </c:pt>
                  <c:pt idx="89" c:formatCode="#,##0.00">
                    <c:v>12442432.59</c:v>
                  </c:pt>
                </c:lvl>
                <c:lvl>
                  <c:pt idx="0" c:formatCode="dd/mm/yy;@">
                    <c:v>45449</c:v>
                  </c:pt>
                  <c:pt idx="1" c:formatCode="dd/mm/yy;@">
                    <c:v>45456</c:v>
                  </c:pt>
                  <c:pt idx="2" c:formatCode="dd/mm/yy;@">
                    <c:v>45463</c:v>
                  </c:pt>
                  <c:pt idx="3" c:formatCode="dd/mm/yy;@">
                    <c:v>45470</c:v>
                  </c:pt>
                  <c:pt idx="4" c:formatCode="dd/mm/yy;@">
                    <c:v>45477</c:v>
                  </c:pt>
                  <c:pt idx="5" c:formatCode="dd/mm/yy;@">
                    <c:v>45484</c:v>
                  </c:pt>
                  <c:pt idx="6" c:formatCode="dd/mm/yy;@">
                    <c:v>45491</c:v>
                  </c:pt>
                  <c:pt idx="7" c:formatCode="dd/mm/yy;@">
                    <c:v>45498</c:v>
                  </c:pt>
                  <c:pt idx="8" c:formatCode="dd/mm/yy;@">
                    <c:v>45505</c:v>
                  </c:pt>
                  <c:pt idx="9" c:formatCode="dd/mm/yy;@">
                    <c:v>45512</c:v>
                  </c:pt>
                  <c:pt idx="10" c:formatCode="dd/mm/yy;@">
                    <c:v>45519</c:v>
                  </c:pt>
                  <c:pt idx="11" c:formatCode="dd/mm/yy;@">
                    <c:v>45547</c:v>
                  </c:pt>
                  <c:pt idx="12" c:formatCode="dd/mm/yy;@">
                    <c:v>45554</c:v>
                  </c:pt>
                  <c:pt idx="13" c:formatCode="dd/mm/yy;@">
                    <c:v>45561</c:v>
                  </c:pt>
                  <c:pt idx="14" c:formatCode="dd/mm/yy;@">
                    <c:v>45568</c:v>
                  </c:pt>
                  <c:pt idx="15" c:formatCode="dd/mm/yy;@">
                    <c:v>45575</c:v>
                  </c:pt>
                  <c:pt idx="16" c:formatCode="dd/mm/yy;@">
                    <c:v>45582</c:v>
                  </c:pt>
                  <c:pt idx="17" c:formatCode="dd/mm/yy;@">
                    <c:v>45589</c:v>
                  </c:pt>
                  <c:pt idx="18" c:formatCode="dd/mm/yy;@">
                    <c:v>45596</c:v>
                  </c:pt>
                  <c:pt idx="19" c:formatCode="dd/mm/yy;@">
                    <c:v>45603</c:v>
                  </c:pt>
                  <c:pt idx="20" c:formatCode="dd/mm/yy;@">
                    <c:v>45610</c:v>
                  </c:pt>
                  <c:pt idx="21" c:formatCode="dd/mm/yy;@">
                    <c:v>45617</c:v>
                  </c:pt>
                  <c:pt idx="22" c:formatCode="dd/mm/yy;@">
                    <c:v>45624</c:v>
                  </c:pt>
                  <c:pt idx="23" c:formatCode="dd/mm/yy;@">
                    <c:v>45631</c:v>
                  </c:pt>
                  <c:pt idx="24" c:formatCode="dd/mm/yy;@">
                    <c:v>45638</c:v>
                  </c:pt>
                  <c:pt idx="25" c:formatCode="dd/mm/yy;@">
                    <c:v>45645</c:v>
                  </c:pt>
                  <c:pt idx="26" c:formatCode="dd/mm/yy;@">
                    <c:v>45652</c:v>
                  </c:pt>
                  <c:pt idx="27" c:formatCode="dd/mm/yy;@">
                    <c:v>45659</c:v>
                  </c:pt>
                  <c:pt idx="28" c:formatCode="dd/mm/yy;@">
                    <c:v>45666</c:v>
                  </c:pt>
                  <c:pt idx="29" c:formatCode="dd/mm/yy;@">
                    <c:v>45673</c:v>
                  </c:pt>
                  <c:pt idx="30" c:formatCode="dd/mm/yy;@">
                    <c:v>45680</c:v>
                  </c:pt>
                  <c:pt idx="31" c:formatCode="dd/mm/yy;@">
                    <c:v>45687</c:v>
                  </c:pt>
                  <c:pt idx="32" c:formatCode="dd/mm/yy;@">
                    <c:v>45694</c:v>
                  </c:pt>
                  <c:pt idx="33" c:formatCode="dd/mm/yy;@">
                    <c:v>45701</c:v>
                  </c:pt>
                  <c:pt idx="34" c:formatCode="dd/mm/yy;@">
                    <c:v>45708</c:v>
                  </c:pt>
                  <c:pt idx="35" c:formatCode="dd/mm/yy;@">
                    <c:v>45715</c:v>
                  </c:pt>
                  <c:pt idx="36" c:formatCode="dd/mm/yy;@">
                    <c:v>45722</c:v>
                  </c:pt>
                  <c:pt idx="37" c:formatCode="dd/mm/yy;@">
                    <c:v>45730</c:v>
                  </c:pt>
                  <c:pt idx="38" c:formatCode="dd/mm/yy;@">
                    <c:v>45736</c:v>
                  </c:pt>
                  <c:pt idx="39" c:formatCode="dd/mm/yy;@">
                    <c:v>45743</c:v>
                  </c:pt>
                  <c:pt idx="40" c:formatCode="dd/mm/yy;@">
                    <c:v>45750</c:v>
                  </c:pt>
                  <c:pt idx="41" c:formatCode="dd/mm/yy;@">
                    <c:v>45757</c:v>
                  </c:pt>
                  <c:pt idx="42" c:formatCode="dd/mm/yy;@">
                    <c:v>45764</c:v>
                  </c:pt>
                  <c:pt idx="43" c:formatCode="dd/mm/yy;@">
                    <c:v>45771</c:v>
                  </c:pt>
                  <c:pt idx="44" c:formatCode="dd/mm/yy;@">
                    <c:v>45779</c:v>
                  </c:pt>
                  <c:pt idx="45" c:formatCode="dd/mm/yy;@">
                    <c:v>45792</c:v>
                  </c:pt>
                  <c:pt idx="46" c:formatCode="dd/mm/yy;@">
                    <c:v>45799</c:v>
                  </c:pt>
                  <c:pt idx="47" c:formatCode="dd/mm/yy;@">
                    <c:v>45806</c:v>
                  </c:pt>
                  <c:pt idx="48" c:formatCode="dd/mm/yy;@">
                    <c:v>45820</c:v>
                  </c:pt>
                  <c:pt idx="49" c:formatCode="dd/mm/yy;@">
                    <c:v>45827</c:v>
                  </c:pt>
                  <c:pt idx="50" c:formatCode="dd/mm/yy;@">
                    <c:v>45842</c:v>
                  </c:pt>
                  <c:pt idx="51" c:formatCode="dd/mm/yy;@">
                    <c:v>45848</c:v>
                  </c:pt>
                  <c:pt idx="52" c:formatCode="dd/mm/yy;@">
                    <c:v>45856</c:v>
                  </c:pt>
                  <c:pt idx="53" c:formatCode="dd/mm/yy;@">
                    <c:v>45863</c:v>
                  </c:pt>
                  <c:pt idx="54" c:formatCode="dd/mm/yy;@">
                    <c:v>45880</c:v>
                  </c:pt>
                  <c:pt idx="55" c:formatCode="dd/mm/yy;@">
                    <c:v>45891</c:v>
                  </c:pt>
                  <c:pt idx="56" c:formatCode="dd/mm/yy;@">
                    <c:v>45919</c:v>
                  </c:pt>
                  <c:pt idx="57" c:formatCode="dd/mm/yy;@">
                    <c:v>45925</c:v>
                  </c:pt>
                  <c:pt idx="58" c:formatCode="dd/mm/yy;@">
                    <c:v>45933</c:v>
                  </c:pt>
                  <c:pt idx="59" c:formatCode="dd/mm/yy;@">
                    <c:v>45940</c:v>
                  </c:pt>
                  <c:pt idx="60" c:formatCode="dd/mm/yy;@">
                    <c:v>45947</c:v>
                  </c:pt>
                  <c:pt idx="61" c:formatCode="dd/mm/yy;@">
                    <c:v>45952</c:v>
                  </c:pt>
                  <c:pt idx="62" c:formatCode="dd/mm/yy;@">
                    <c:v>45961</c:v>
                  </c:pt>
                  <c:pt idx="63" c:formatCode="dd/mm/yy;@">
                    <c:v>45968</c:v>
                  </c:pt>
                  <c:pt idx="64" c:formatCode="dd/mm/yy;@">
                    <c:v>45975</c:v>
                  </c:pt>
                  <c:pt idx="65" c:formatCode="dd/mm/yy;@">
                    <c:v>45982</c:v>
                  </c:pt>
                  <c:pt idx="66" c:formatCode="dd/mm/yy;@">
                    <c:v>45989</c:v>
                  </c:pt>
                  <c:pt idx="67" c:formatCode="dd/mm/yy;@">
                    <c:v>45996</c:v>
                  </c:pt>
                  <c:pt idx="68" c:formatCode="dd/mm/yy;@">
                    <c:v>46003</c:v>
                  </c:pt>
                  <c:pt idx="69" c:formatCode="dd/mm/yy;@">
                    <c:v>46010</c:v>
                  </c:pt>
                  <c:pt idx="70" c:formatCode="dd/mm/yy;@">
                    <c:v>46017</c:v>
                  </c:pt>
                  <c:pt idx="71" c:formatCode="dd/mm/yy;@">
                    <c:v>46030</c:v>
                  </c:pt>
                  <c:pt idx="72" c:formatCode="dd/mm/yy;@">
                    <c:v>46042</c:v>
                  </c:pt>
                  <c:pt idx="73" c:formatCode="dd/mm/yy;@">
                    <c:v>46051</c:v>
                  </c:pt>
                  <c:pt idx="74" c:formatCode="dd/mm/yy;@">
                    <c:v>46066</c:v>
                  </c:pt>
                  <c:pt idx="75" c:formatCode="dd/mm/yy;@">
                    <c:v>46080</c:v>
                  </c:pt>
                  <c:pt idx="76" c:formatCode="dd/mm/yy;@">
                    <c:v>46087</c:v>
                  </c:pt>
                  <c:pt idx="77" c:formatCode="dd/mm/yy;@">
                    <c:v>46094</c:v>
                  </c:pt>
                  <c:pt idx="78" c:formatCode="dd/mm/yy;@">
                    <c:v>46114</c:v>
                  </c:pt>
                  <c:pt idx="79" c:formatCode="dd/mm/yy;@">
                    <c:v>46125</c:v>
                  </c:pt>
                  <c:pt idx="80" c:formatCode="dd/mm/yy;@">
                    <c:v>46136</c:v>
                  </c:pt>
                  <c:pt idx="81" c:formatCode="dd/mm/yy;@">
                    <c:v>46150</c:v>
                  </c:pt>
                  <c:pt idx="82" c:formatCode="dd/mm/yy;@">
                    <c:v>46157</c:v>
                  </c:pt>
                  <c:pt idx="83" c:formatCode="dd/mm/yy;@">
                    <c:v>46177</c:v>
                  </c:pt>
                  <c:pt idx="84" c:formatCode="dd/mm/yy;@">
                    <c:v>46185</c:v>
                  </c:pt>
                  <c:pt idx="85" c:formatCode="dd/mm/yy;@">
                    <c:v>46192</c:v>
                  </c:pt>
                  <c:pt idx="86" c:formatCode="dd/mm/yy;@">
                    <c:v>46199</c:v>
                  </c:pt>
                  <c:pt idx="87" c:formatCode="dd/mm/yy;@">
                    <c:v>46206</c:v>
                  </c:pt>
                  <c:pt idx="88" c:formatCode="dd/mm/yy;@">
                    <c:v>46213</c:v>
                  </c:pt>
                  <c:pt idx="89" c:formatCode="dd/mm/yy;@">
                    <c:v>46220</c:v>
                  </c:pt>
                </c:lvl>
                <c:lvl/>
              </c:multiLvlStrCache>
            </c:multiLvlStrRef>
          </c:cat>
          <c:val>
            <c:numRef>
              <c:f>NABIL!$D$280:$D$369</c:f>
              <c:numCache>
                <c:formatCode>#,##0.00</c:formatCode>
                <c:ptCount val="90"/>
                <c:pt idx="0">
                  <c:v>10208118.86</c:v>
                </c:pt>
                <c:pt idx="1">
                  <c:v>9954410.77</c:v>
                </c:pt>
                <c:pt idx="2">
                  <c:v>9202579.18</c:v>
                </c:pt>
                <c:pt idx="3">
                  <c:v>9658864.96</c:v>
                </c:pt>
                <c:pt idx="4">
                  <c:v>10240268.61</c:v>
                </c:pt>
                <c:pt idx="5">
                  <c:v>10441447.06</c:v>
                </c:pt>
                <c:pt idx="6">
                  <c:v>9851635.06</c:v>
                </c:pt>
                <c:pt idx="7">
                  <c:v>10125616.33</c:v>
                </c:pt>
                <c:pt idx="8">
                  <c:v>10230662.65</c:v>
                </c:pt>
                <c:pt idx="9">
                  <c:v>10845171.9</c:v>
                </c:pt>
                <c:pt idx="10">
                  <c:v>11629804.08</c:v>
                </c:pt>
                <c:pt idx="11">
                  <c:v>11925099.2</c:v>
                </c:pt>
                <c:pt idx="12">
                  <c:v>12464577.84</c:v>
                </c:pt>
                <c:pt idx="13">
                  <c:v>12738234.7</c:v>
                </c:pt>
                <c:pt idx="14">
                  <c:v>12541255.77</c:v>
                </c:pt>
                <c:pt idx="15">
                  <c:v>11576422.6</c:v>
                </c:pt>
                <c:pt idx="16">
                  <c:v>10567571.23</c:v>
                </c:pt>
                <c:pt idx="17">
                  <c:v>10706853.24</c:v>
                </c:pt>
                <c:pt idx="18">
                  <c:v>10554657.29</c:v>
                </c:pt>
                <c:pt idx="19">
                  <c:v>10757206.52</c:v>
                </c:pt>
                <c:pt idx="20">
                  <c:v>10779986.27</c:v>
                </c:pt>
                <c:pt idx="21">
                  <c:v>10726483.18</c:v>
                </c:pt>
                <c:pt idx="22">
                  <c:v>11039993.35</c:v>
                </c:pt>
                <c:pt idx="23">
                  <c:v>11027675.57</c:v>
                </c:pt>
                <c:pt idx="24">
                  <c:v>10583788.17</c:v>
                </c:pt>
                <c:pt idx="25">
                  <c:v>9862137.9</c:v>
                </c:pt>
                <c:pt idx="26">
                  <c:v>9779642.66</c:v>
                </c:pt>
                <c:pt idx="27">
                  <c:v>9318597.83</c:v>
                </c:pt>
                <c:pt idx="28">
                  <c:v>10052161.4</c:v>
                </c:pt>
                <c:pt idx="29">
                  <c:v>9732515.05</c:v>
                </c:pt>
                <c:pt idx="30">
                  <c:v>10339349.86</c:v>
                </c:pt>
                <c:pt idx="31">
                  <c:v>11006009.61</c:v>
                </c:pt>
                <c:pt idx="32">
                  <c:v>10969037.61</c:v>
                </c:pt>
                <c:pt idx="33">
                  <c:v>12068185.3</c:v>
                </c:pt>
                <c:pt idx="34">
                  <c:v>12680441.57</c:v>
                </c:pt>
                <c:pt idx="35">
                  <c:v>13268369.52</c:v>
                </c:pt>
                <c:pt idx="36">
                  <c:v>13627565.53</c:v>
                </c:pt>
                <c:pt idx="37">
                  <c:v>13429649.65</c:v>
                </c:pt>
                <c:pt idx="38">
                  <c:v>10317793.04</c:v>
                </c:pt>
                <c:pt idx="39">
                  <c:v>10839775.96</c:v>
                </c:pt>
                <c:pt idx="40">
                  <c:v>10751775.96</c:v>
                </c:pt>
                <c:pt idx="41">
                  <c:v>11233169.19</c:v>
                </c:pt>
                <c:pt idx="42">
                  <c:v>10471930.22</c:v>
                </c:pt>
                <c:pt idx="43">
                  <c:v>10929704.68</c:v>
                </c:pt>
                <c:pt idx="44">
                  <c:v>11167822.16</c:v>
                </c:pt>
                <c:pt idx="45">
                  <c:v>12089610.04</c:v>
                </c:pt>
                <c:pt idx="46">
                  <c:v>11006950.55</c:v>
                </c:pt>
                <c:pt idx="47">
                  <c:v>10947363.61</c:v>
                </c:pt>
                <c:pt idx="48">
                  <c:v>11351490.6</c:v>
                </c:pt>
                <c:pt idx="49">
                  <c:v>11339356.44</c:v>
                </c:pt>
                <c:pt idx="50">
                  <c:v>11660099.12</c:v>
                </c:pt>
                <c:pt idx="51">
                  <c:v>12098509.34</c:v>
                </c:pt>
                <c:pt idx="52">
                  <c:v>12550687.96</c:v>
                </c:pt>
                <c:pt idx="53">
                  <c:v>12279855.23</c:v>
                </c:pt>
                <c:pt idx="54">
                  <c:v>11964133.77</c:v>
                </c:pt>
                <c:pt idx="55">
                  <c:v>11617239.59</c:v>
                </c:pt>
                <c:pt idx="56">
                  <c:v>12291000.23</c:v>
                </c:pt>
                <c:pt idx="57">
                  <c:v>12133152.89</c:v>
                </c:pt>
                <c:pt idx="58">
                  <c:v>11379126.67</c:v>
                </c:pt>
                <c:pt idx="59">
                  <c:v>11515385.92</c:v>
                </c:pt>
                <c:pt idx="60">
                  <c:v>11964830.95</c:v>
                </c:pt>
                <c:pt idx="61">
                  <c:v>11921828.96</c:v>
                </c:pt>
                <c:pt idx="62">
                  <c:v>12573627.48</c:v>
                </c:pt>
                <c:pt idx="63">
                  <c:v>12579775.08</c:v>
                </c:pt>
                <c:pt idx="64">
                  <c:v>12228921.43</c:v>
                </c:pt>
                <c:pt idx="65">
                  <c:v>12428476.71</c:v>
                </c:pt>
                <c:pt idx="66">
                  <c:v>12510938.95</c:v>
                </c:pt>
                <c:pt idx="67">
                  <c:v>13029075.59</c:v>
                </c:pt>
                <c:pt idx="68">
                  <c:v>12651514.47</c:v>
                </c:pt>
                <c:pt idx="69">
                  <c:v>12803409.97</c:v>
                </c:pt>
                <c:pt idx="70">
                  <c:v>12908817.62</c:v>
                </c:pt>
                <c:pt idx="71">
                  <c:v>12458351.68</c:v>
                </c:pt>
                <c:pt idx="72">
                  <c:v>11614484.8</c:v>
                </c:pt>
                <c:pt idx="73">
                  <c:v>11386352.41</c:v>
                </c:pt>
                <c:pt idx="74">
                  <c:v>11089687.68</c:v>
                </c:pt>
                <c:pt idx="75">
                  <c:v>11111790.94</c:v>
                </c:pt>
                <c:pt idx="76">
                  <c:v>11603166.15</c:v>
                </c:pt>
                <c:pt idx="77">
                  <c:v>12050204.24</c:v>
                </c:pt>
                <c:pt idx="78">
                  <c:v>12065976.59</c:v>
                </c:pt>
                <c:pt idx="79">
                  <c:v>11981768.8</c:v>
                </c:pt>
                <c:pt idx="80">
                  <c:v>11889039.4</c:v>
                </c:pt>
                <c:pt idx="81">
                  <c:v>11435663.47</c:v>
                </c:pt>
                <c:pt idx="82">
                  <c:v>12052234.55</c:v>
                </c:pt>
                <c:pt idx="83">
                  <c:v>12235593.27</c:v>
                </c:pt>
                <c:pt idx="84">
                  <c:v>13149807.18</c:v>
                </c:pt>
                <c:pt idx="85">
                  <c:v>13209397.46</c:v>
                </c:pt>
                <c:pt idx="86">
                  <c:v>13502618.83</c:v>
                </c:pt>
                <c:pt idx="87">
                  <c:v>12711490.32</c:v>
                </c:pt>
                <c:pt idx="88">
                  <c:v>12643240.92</c:v>
                </c:pt>
                <c:pt idx="89">
                  <c:v>12442432.59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NABIL!$B$280:$E$369</c:f>
              <c:multiLvlStrCache>
                <c:ptCount val="90"/>
                <c:lvl/>
                <c:lvl>
                  <c:pt idx="0" c:formatCode="#,##0.00">
                    <c:v>10208118.86</c:v>
                  </c:pt>
                  <c:pt idx="1" c:formatCode="#,##0.00">
                    <c:v>9954410.77</c:v>
                  </c:pt>
                  <c:pt idx="2" c:formatCode="#,##0.00">
                    <c:v>9202579.18</c:v>
                  </c:pt>
                  <c:pt idx="3" c:formatCode="#,##0.00">
                    <c:v>9658864.96</c:v>
                  </c:pt>
                  <c:pt idx="4" c:formatCode="#,##0.00">
                    <c:v>10240268.61</c:v>
                  </c:pt>
                  <c:pt idx="5" c:formatCode="#,##0.00">
                    <c:v>10441447.06</c:v>
                  </c:pt>
                  <c:pt idx="6" c:formatCode="#,##0.00">
                    <c:v>9851635.06</c:v>
                  </c:pt>
                  <c:pt idx="7" c:formatCode="#,##0.00">
                    <c:v>10125616.33</c:v>
                  </c:pt>
                  <c:pt idx="8" c:formatCode="#,##0.00">
                    <c:v>10230662.65</c:v>
                  </c:pt>
                  <c:pt idx="9" c:formatCode="#,##0.00">
                    <c:v>10845171.9</c:v>
                  </c:pt>
                  <c:pt idx="10" c:formatCode="#,##0.00">
                    <c:v>11629804.08</c:v>
                  </c:pt>
                  <c:pt idx="11" c:formatCode="#,##0.00">
                    <c:v>11925099.2</c:v>
                  </c:pt>
                  <c:pt idx="12" c:formatCode="#,##0.00">
                    <c:v>12464577.84</c:v>
                  </c:pt>
                  <c:pt idx="13" c:formatCode="#,##0.00">
                    <c:v>12738234.7</c:v>
                  </c:pt>
                  <c:pt idx="14" c:formatCode="#,##0.00">
                    <c:v>12541255.77</c:v>
                  </c:pt>
                  <c:pt idx="15" c:formatCode="#,##0.00">
                    <c:v>11576422.6</c:v>
                  </c:pt>
                  <c:pt idx="16" c:formatCode="#,##0.00">
                    <c:v>10567571.23</c:v>
                  </c:pt>
                  <c:pt idx="17" c:formatCode="#,##0.00">
                    <c:v>10706853.24</c:v>
                  </c:pt>
                  <c:pt idx="18" c:formatCode="#,##0.00">
                    <c:v>10554657.29</c:v>
                  </c:pt>
                  <c:pt idx="19" c:formatCode="#,##0.00">
                    <c:v>10757206.52</c:v>
                  </c:pt>
                  <c:pt idx="20" c:formatCode="#,##0.00">
                    <c:v>10779986.27</c:v>
                  </c:pt>
                  <c:pt idx="21" c:formatCode="#,##0.00">
                    <c:v>10726483.18</c:v>
                  </c:pt>
                  <c:pt idx="22" c:formatCode="#,##0.00">
                    <c:v>11039993.35</c:v>
                  </c:pt>
                  <c:pt idx="23" c:formatCode="#,##0.00">
                    <c:v>11027675.57</c:v>
                  </c:pt>
                  <c:pt idx="24" c:formatCode="#,##0.00">
                    <c:v>10583788.17</c:v>
                  </c:pt>
                  <c:pt idx="25" c:formatCode="#,##0.00">
                    <c:v>9862137.9</c:v>
                  </c:pt>
                  <c:pt idx="26" c:formatCode="#,##0.00">
                    <c:v>9779642.66</c:v>
                  </c:pt>
                  <c:pt idx="27" c:formatCode="#,##0.00">
                    <c:v>9318597.83</c:v>
                  </c:pt>
                  <c:pt idx="28" c:formatCode="#,##0.00">
                    <c:v>10052161.4</c:v>
                  </c:pt>
                  <c:pt idx="29" c:formatCode="#,##0.00">
                    <c:v>9732515.05</c:v>
                  </c:pt>
                  <c:pt idx="30" c:formatCode="#,##0.00">
                    <c:v>10339349.86</c:v>
                  </c:pt>
                  <c:pt idx="31" c:formatCode="#,##0.00">
                    <c:v>11006009.61</c:v>
                  </c:pt>
                  <c:pt idx="32" c:formatCode="#,##0.00">
                    <c:v>10969037.61</c:v>
                  </c:pt>
                  <c:pt idx="33" c:formatCode="#,##0.00">
                    <c:v>12068185.3</c:v>
                  </c:pt>
                  <c:pt idx="34" c:formatCode="#,##0.00">
                    <c:v>12680441.57</c:v>
                  </c:pt>
                  <c:pt idx="35" c:formatCode="#,##0.00">
                    <c:v>13268369.52</c:v>
                  </c:pt>
                  <c:pt idx="36" c:formatCode="#,##0.00">
                    <c:v>13627565.53</c:v>
                  </c:pt>
                  <c:pt idx="37" c:formatCode="#,##0.00">
                    <c:v>13429649.65</c:v>
                  </c:pt>
                  <c:pt idx="38" c:formatCode="#,##0.00">
                    <c:v>10317793.04</c:v>
                  </c:pt>
                  <c:pt idx="39" c:formatCode="#,##0.00">
                    <c:v>10839775.96</c:v>
                  </c:pt>
                  <c:pt idx="40" c:formatCode="#,##0.00">
                    <c:v>10751775.96</c:v>
                  </c:pt>
                  <c:pt idx="41" c:formatCode="#,##0.00">
                    <c:v>11233169.19</c:v>
                  </c:pt>
                  <c:pt idx="42" c:formatCode="#,##0.00">
                    <c:v>10471930.22</c:v>
                  </c:pt>
                  <c:pt idx="43" c:formatCode="#,##0.00">
                    <c:v>10929704.68</c:v>
                  </c:pt>
                  <c:pt idx="44" c:formatCode="#,##0.00">
                    <c:v>11167822.16</c:v>
                  </c:pt>
                  <c:pt idx="45" c:formatCode="#,##0.00">
                    <c:v>12089610.04</c:v>
                  </c:pt>
                  <c:pt idx="46" c:formatCode="#,##0.00">
                    <c:v>11006950.55</c:v>
                  </c:pt>
                  <c:pt idx="47" c:formatCode="#,##0.00">
                    <c:v>10947363.61</c:v>
                  </c:pt>
                  <c:pt idx="48" c:formatCode="#,##0.00">
                    <c:v>11351490.6</c:v>
                  </c:pt>
                  <c:pt idx="49" c:formatCode="#,##0.00">
                    <c:v>11339356.44</c:v>
                  </c:pt>
                  <c:pt idx="50" c:formatCode="#,##0.00">
                    <c:v>11660099.12</c:v>
                  </c:pt>
                  <c:pt idx="51" c:formatCode="#,##0.00">
                    <c:v>12098509.34</c:v>
                  </c:pt>
                  <c:pt idx="52" c:formatCode="#,##0.00">
                    <c:v>12550687.96</c:v>
                  </c:pt>
                  <c:pt idx="53" c:formatCode="#,##0.00">
                    <c:v>12279855.23</c:v>
                  </c:pt>
                  <c:pt idx="54" c:formatCode="#,##0.00">
                    <c:v>11964133.77</c:v>
                  </c:pt>
                  <c:pt idx="55" c:formatCode="#,##0.00">
                    <c:v>11617239.59</c:v>
                  </c:pt>
                  <c:pt idx="56" c:formatCode="#,##0.00">
                    <c:v>12291000.23</c:v>
                  </c:pt>
                  <c:pt idx="57" c:formatCode="#,##0.00">
                    <c:v>12133152.89</c:v>
                  </c:pt>
                  <c:pt idx="58" c:formatCode="#,##0.00">
                    <c:v>11379126.67</c:v>
                  </c:pt>
                  <c:pt idx="59" c:formatCode="#,##0.00">
                    <c:v>11515385.92</c:v>
                  </c:pt>
                  <c:pt idx="60" c:formatCode="#,##0.00">
                    <c:v>11964830.95</c:v>
                  </c:pt>
                  <c:pt idx="61" c:formatCode="#,##0.00">
                    <c:v>11921828.96</c:v>
                  </c:pt>
                  <c:pt idx="62" c:formatCode="#,##0.00">
                    <c:v>12573627.48</c:v>
                  </c:pt>
                  <c:pt idx="63" c:formatCode="#,##0.00">
                    <c:v>12579775.08</c:v>
                  </c:pt>
                  <c:pt idx="64" c:formatCode="#,##0.00">
                    <c:v>12228921.43</c:v>
                  </c:pt>
                  <c:pt idx="65" c:formatCode="#,##0.00">
                    <c:v>12428476.71</c:v>
                  </c:pt>
                  <c:pt idx="66" c:formatCode="#,##0.00">
                    <c:v>12510938.95</c:v>
                  </c:pt>
                  <c:pt idx="67" c:formatCode="#,##0.00">
                    <c:v>13029075.59</c:v>
                  </c:pt>
                  <c:pt idx="68" c:formatCode="#,##0.00">
                    <c:v>12651514.47</c:v>
                  </c:pt>
                  <c:pt idx="69" c:formatCode="#,##0.00">
                    <c:v>12803409.97</c:v>
                  </c:pt>
                  <c:pt idx="70" c:formatCode="#,##0.00">
                    <c:v>12908817.62</c:v>
                  </c:pt>
                  <c:pt idx="71" c:formatCode="#,##0.00">
                    <c:v>12458351.68</c:v>
                  </c:pt>
                  <c:pt idx="72" c:formatCode="#,##0.00">
                    <c:v>11614484.8</c:v>
                  </c:pt>
                  <c:pt idx="73" c:formatCode="#,##0.00">
                    <c:v>11386352.41</c:v>
                  </c:pt>
                  <c:pt idx="74" c:formatCode="#,##0.00">
                    <c:v>11089687.68</c:v>
                  </c:pt>
                  <c:pt idx="75" c:formatCode="#,##0.00">
                    <c:v>11111790.94</c:v>
                  </c:pt>
                  <c:pt idx="76" c:formatCode="#,##0.00">
                    <c:v>11603166.15</c:v>
                  </c:pt>
                  <c:pt idx="77" c:formatCode="#,##0.00">
                    <c:v>12050204.24</c:v>
                  </c:pt>
                  <c:pt idx="78" c:formatCode="#,##0.00">
                    <c:v>12065976.59</c:v>
                  </c:pt>
                  <c:pt idx="79" c:formatCode="#,##0.00">
                    <c:v>11981768.8</c:v>
                  </c:pt>
                  <c:pt idx="80" c:formatCode="#,##0.00">
                    <c:v>11889039.4</c:v>
                  </c:pt>
                  <c:pt idx="81" c:formatCode="#,##0.00">
                    <c:v>11435663.47</c:v>
                  </c:pt>
                  <c:pt idx="82" c:formatCode="#,##0.00">
                    <c:v>12052234.55</c:v>
                  </c:pt>
                  <c:pt idx="83" c:formatCode="#,##0.00">
                    <c:v>12235593.27</c:v>
                  </c:pt>
                  <c:pt idx="84" c:formatCode="#,##0.00">
                    <c:v>13149807.18</c:v>
                  </c:pt>
                  <c:pt idx="85" c:formatCode="#,##0.00">
                    <c:v>13209397.46</c:v>
                  </c:pt>
                  <c:pt idx="86" c:formatCode="#,##0.00">
                    <c:v>13502618.83</c:v>
                  </c:pt>
                  <c:pt idx="87" c:formatCode="#,##0.00">
                    <c:v>12711490.32</c:v>
                  </c:pt>
                  <c:pt idx="88" c:formatCode="#,##0.00">
                    <c:v>12643240.92</c:v>
                  </c:pt>
                  <c:pt idx="89" c:formatCode="#,##0.00">
                    <c:v>12442432.59</c:v>
                  </c:pt>
                </c:lvl>
                <c:lvl>
                  <c:pt idx="0" c:formatCode="dd/mm/yy;@">
                    <c:v>45449</c:v>
                  </c:pt>
                  <c:pt idx="1" c:formatCode="dd/mm/yy;@">
                    <c:v>45456</c:v>
                  </c:pt>
                  <c:pt idx="2" c:formatCode="dd/mm/yy;@">
                    <c:v>45463</c:v>
                  </c:pt>
                  <c:pt idx="3" c:formatCode="dd/mm/yy;@">
                    <c:v>45470</c:v>
                  </c:pt>
                  <c:pt idx="4" c:formatCode="dd/mm/yy;@">
                    <c:v>45477</c:v>
                  </c:pt>
                  <c:pt idx="5" c:formatCode="dd/mm/yy;@">
                    <c:v>45484</c:v>
                  </c:pt>
                  <c:pt idx="6" c:formatCode="dd/mm/yy;@">
                    <c:v>45491</c:v>
                  </c:pt>
                  <c:pt idx="7" c:formatCode="dd/mm/yy;@">
                    <c:v>45498</c:v>
                  </c:pt>
                  <c:pt idx="8" c:formatCode="dd/mm/yy;@">
                    <c:v>45505</c:v>
                  </c:pt>
                  <c:pt idx="9" c:formatCode="dd/mm/yy;@">
                    <c:v>45512</c:v>
                  </c:pt>
                  <c:pt idx="10" c:formatCode="dd/mm/yy;@">
                    <c:v>45519</c:v>
                  </c:pt>
                  <c:pt idx="11" c:formatCode="dd/mm/yy;@">
                    <c:v>45547</c:v>
                  </c:pt>
                  <c:pt idx="12" c:formatCode="dd/mm/yy;@">
                    <c:v>45554</c:v>
                  </c:pt>
                  <c:pt idx="13" c:formatCode="dd/mm/yy;@">
                    <c:v>45561</c:v>
                  </c:pt>
                  <c:pt idx="14" c:formatCode="dd/mm/yy;@">
                    <c:v>45568</c:v>
                  </c:pt>
                  <c:pt idx="15" c:formatCode="dd/mm/yy;@">
                    <c:v>45575</c:v>
                  </c:pt>
                  <c:pt idx="16" c:formatCode="dd/mm/yy;@">
                    <c:v>45582</c:v>
                  </c:pt>
                  <c:pt idx="17" c:formatCode="dd/mm/yy;@">
                    <c:v>45589</c:v>
                  </c:pt>
                  <c:pt idx="18" c:formatCode="dd/mm/yy;@">
                    <c:v>45596</c:v>
                  </c:pt>
                  <c:pt idx="19" c:formatCode="dd/mm/yy;@">
                    <c:v>45603</c:v>
                  </c:pt>
                  <c:pt idx="20" c:formatCode="dd/mm/yy;@">
                    <c:v>45610</c:v>
                  </c:pt>
                  <c:pt idx="21" c:formatCode="dd/mm/yy;@">
                    <c:v>45617</c:v>
                  </c:pt>
                  <c:pt idx="22" c:formatCode="dd/mm/yy;@">
                    <c:v>45624</c:v>
                  </c:pt>
                  <c:pt idx="23" c:formatCode="dd/mm/yy;@">
                    <c:v>45631</c:v>
                  </c:pt>
                  <c:pt idx="24" c:formatCode="dd/mm/yy;@">
                    <c:v>45638</c:v>
                  </c:pt>
                  <c:pt idx="25" c:formatCode="dd/mm/yy;@">
                    <c:v>45645</c:v>
                  </c:pt>
                  <c:pt idx="26" c:formatCode="dd/mm/yy;@">
                    <c:v>45652</c:v>
                  </c:pt>
                  <c:pt idx="27" c:formatCode="dd/mm/yy;@">
                    <c:v>45659</c:v>
                  </c:pt>
                  <c:pt idx="28" c:formatCode="dd/mm/yy;@">
                    <c:v>45666</c:v>
                  </c:pt>
                  <c:pt idx="29" c:formatCode="dd/mm/yy;@">
                    <c:v>45673</c:v>
                  </c:pt>
                  <c:pt idx="30" c:formatCode="dd/mm/yy;@">
                    <c:v>45680</c:v>
                  </c:pt>
                  <c:pt idx="31" c:formatCode="dd/mm/yy;@">
                    <c:v>45687</c:v>
                  </c:pt>
                  <c:pt idx="32" c:formatCode="dd/mm/yy;@">
                    <c:v>45694</c:v>
                  </c:pt>
                  <c:pt idx="33" c:formatCode="dd/mm/yy;@">
                    <c:v>45701</c:v>
                  </c:pt>
                  <c:pt idx="34" c:formatCode="dd/mm/yy;@">
                    <c:v>45708</c:v>
                  </c:pt>
                  <c:pt idx="35" c:formatCode="dd/mm/yy;@">
                    <c:v>45715</c:v>
                  </c:pt>
                  <c:pt idx="36" c:formatCode="dd/mm/yy;@">
                    <c:v>45722</c:v>
                  </c:pt>
                  <c:pt idx="37" c:formatCode="dd/mm/yy;@">
                    <c:v>45730</c:v>
                  </c:pt>
                  <c:pt idx="38" c:formatCode="dd/mm/yy;@">
                    <c:v>45736</c:v>
                  </c:pt>
                  <c:pt idx="39" c:formatCode="dd/mm/yy;@">
                    <c:v>45743</c:v>
                  </c:pt>
                  <c:pt idx="40" c:formatCode="dd/mm/yy;@">
                    <c:v>45750</c:v>
                  </c:pt>
                  <c:pt idx="41" c:formatCode="dd/mm/yy;@">
                    <c:v>45757</c:v>
                  </c:pt>
                  <c:pt idx="42" c:formatCode="dd/mm/yy;@">
                    <c:v>45764</c:v>
                  </c:pt>
                  <c:pt idx="43" c:formatCode="dd/mm/yy;@">
                    <c:v>45771</c:v>
                  </c:pt>
                  <c:pt idx="44" c:formatCode="dd/mm/yy;@">
                    <c:v>45779</c:v>
                  </c:pt>
                  <c:pt idx="45" c:formatCode="dd/mm/yy;@">
                    <c:v>45792</c:v>
                  </c:pt>
                  <c:pt idx="46" c:formatCode="dd/mm/yy;@">
                    <c:v>45799</c:v>
                  </c:pt>
                  <c:pt idx="47" c:formatCode="dd/mm/yy;@">
                    <c:v>45806</c:v>
                  </c:pt>
                  <c:pt idx="48" c:formatCode="dd/mm/yy;@">
                    <c:v>45820</c:v>
                  </c:pt>
                  <c:pt idx="49" c:formatCode="dd/mm/yy;@">
                    <c:v>45827</c:v>
                  </c:pt>
                  <c:pt idx="50" c:formatCode="dd/mm/yy;@">
                    <c:v>45842</c:v>
                  </c:pt>
                  <c:pt idx="51" c:formatCode="dd/mm/yy;@">
                    <c:v>45848</c:v>
                  </c:pt>
                  <c:pt idx="52" c:formatCode="dd/mm/yy;@">
                    <c:v>45856</c:v>
                  </c:pt>
                  <c:pt idx="53" c:formatCode="dd/mm/yy;@">
                    <c:v>45863</c:v>
                  </c:pt>
                  <c:pt idx="54" c:formatCode="dd/mm/yy;@">
                    <c:v>45880</c:v>
                  </c:pt>
                  <c:pt idx="55" c:formatCode="dd/mm/yy;@">
                    <c:v>45891</c:v>
                  </c:pt>
                  <c:pt idx="56" c:formatCode="dd/mm/yy;@">
                    <c:v>45919</c:v>
                  </c:pt>
                  <c:pt idx="57" c:formatCode="dd/mm/yy;@">
                    <c:v>45925</c:v>
                  </c:pt>
                  <c:pt idx="58" c:formatCode="dd/mm/yy;@">
                    <c:v>45933</c:v>
                  </c:pt>
                  <c:pt idx="59" c:formatCode="dd/mm/yy;@">
                    <c:v>45940</c:v>
                  </c:pt>
                  <c:pt idx="60" c:formatCode="dd/mm/yy;@">
                    <c:v>45947</c:v>
                  </c:pt>
                  <c:pt idx="61" c:formatCode="dd/mm/yy;@">
                    <c:v>45952</c:v>
                  </c:pt>
                  <c:pt idx="62" c:formatCode="dd/mm/yy;@">
                    <c:v>45961</c:v>
                  </c:pt>
                  <c:pt idx="63" c:formatCode="dd/mm/yy;@">
                    <c:v>45968</c:v>
                  </c:pt>
                  <c:pt idx="64" c:formatCode="dd/mm/yy;@">
                    <c:v>45975</c:v>
                  </c:pt>
                  <c:pt idx="65" c:formatCode="dd/mm/yy;@">
                    <c:v>45982</c:v>
                  </c:pt>
                  <c:pt idx="66" c:formatCode="dd/mm/yy;@">
                    <c:v>45989</c:v>
                  </c:pt>
                  <c:pt idx="67" c:formatCode="dd/mm/yy;@">
                    <c:v>45996</c:v>
                  </c:pt>
                  <c:pt idx="68" c:formatCode="dd/mm/yy;@">
                    <c:v>46003</c:v>
                  </c:pt>
                  <c:pt idx="69" c:formatCode="dd/mm/yy;@">
                    <c:v>46010</c:v>
                  </c:pt>
                  <c:pt idx="70" c:formatCode="dd/mm/yy;@">
                    <c:v>46017</c:v>
                  </c:pt>
                  <c:pt idx="71" c:formatCode="dd/mm/yy;@">
                    <c:v>46030</c:v>
                  </c:pt>
                  <c:pt idx="72" c:formatCode="dd/mm/yy;@">
                    <c:v>46042</c:v>
                  </c:pt>
                  <c:pt idx="73" c:formatCode="dd/mm/yy;@">
                    <c:v>46051</c:v>
                  </c:pt>
                  <c:pt idx="74" c:formatCode="dd/mm/yy;@">
                    <c:v>46066</c:v>
                  </c:pt>
                  <c:pt idx="75" c:formatCode="dd/mm/yy;@">
                    <c:v>46080</c:v>
                  </c:pt>
                  <c:pt idx="76" c:formatCode="dd/mm/yy;@">
                    <c:v>46087</c:v>
                  </c:pt>
                  <c:pt idx="77" c:formatCode="dd/mm/yy;@">
                    <c:v>46094</c:v>
                  </c:pt>
                  <c:pt idx="78" c:formatCode="dd/mm/yy;@">
                    <c:v>46114</c:v>
                  </c:pt>
                  <c:pt idx="79" c:formatCode="dd/mm/yy;@">
                    <c:v>46125</c:v>
                  </c:pt>
                  <c:pt idx="80" c:formatCode="dd/mm/yy;@">
                    <c:v>46136</c:v>
                  </c:pt>
                  <c:pt idx="81" c:formatCode="dd/mm/yy;@">
                    <c:v>46150</c:v>
                  </c:pt>
                  <c:pt idx="82" c:formatCode="dd/mm/yy;@">
                    <c:v>46157</c:v>
                  </c:pt>
                  <c:pt idx="83" c:formatCode="dd/mm/yy;@">
                    <c:v>46177</c:v>
                  </c:pt>
                  <c:pt idx="84" c:formatCode="dd/mm/yy;@">
                    <c:v>46185</c:v>
                  </c:pt>
                  <c:pt idx="85" c:formatCode="dd/mm/yy;@">
                    <c:v>46192</c:v>
                  </c:pt>
                  <c:pt idx="86" c:formatCode="dd/mm/yy;@">
                    <c:v>46199</c:v>
                  </c:pt>
                  <c:pt idx="87" c:formatCode="dd/mm/yy;@">
                    <c:v>46206</c:v>
                  </c:pt>
                  <c:pt idx="88" c:formatCode="dd/mm/yy;@">
                    <c:v>46213</c:v>
                  </c:pt>
                  <c:pt idx="89" c:formatCode="dd/mm/yy;@">
                    <c:v>46220</c:v>
                  </c:pt>
                </c:lvl>
                <c:lvl/>
              </c:multiLvlStrCache>
            </c:multiLvlStrRef>
          </c:cat>
          <c:val>
            <c:numRef>
              <c:f>NABIL!#REF!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NABIL!$B$280:$E$369</c:f>
              <c:multiLvlStrCache>
                <c:ptCount val="90"/>
                <c:lvl/>
                <c:lvl>
                  <c:pt idx="0" c:formatCode="#,##0.00">
                    <c:v>10208118.86</c:v>
                  </c:pt>
                  <c:pt idx="1" c:formatCode="#,##0.00">
                    <c:v>9954410.77</c:v>
                  </c:pt>
                  <c:pt idx="2" c:formatCode="#,##0.00">
                    <c:v>9202579.18</c:v>
                  </c:pt>
                  <c:pt idx="3" c:formatCode="#,##0.00">
                    <c:v>9658864.96</c:v>
                  </c:pt>
                  <c:pt idx="4" c:formatCode="#,##0.00">
                    <c:v>10240268.61</c:v>
                  </c:pt>
                  <c:pt idx="5" c:formatCode="#,##0.00">
                    <c:v>10441447.06</c:v>
                  </c:pt>
                  <c:pt idx="6" c:formatCode="#,##0.00">
                    <c:v>9851635.06</c:v>
                  </c:pt>
                  <c:pt idx="7" c:formatCode="#,##0.00">
                    <c:v>10125616.33</c:v>
                  </c:pt>
                  <c:pt idx="8" c:formatCode="#,##0.00">
                    <c:v>10230662.65</c:v>
                  </c:pt>
                  <c:pt idx="9" c:formatCode="#,##0.00">
                    <c:v>10845171.9</c:v>
                  </c:pt>
                  <c:pt idx="10" c:formatCode="#,##0.00">
                    <c:v>11629804.08</c:v>
                  </c:pt>
                  <c:pt idx="11" c:formatCode="#,##0.00">
                    <c:v>11925099.2</c:v>
                  </c:pt>
                  <c:pt idx="12" c:formatCode="#,##0.00">
                    <c:v>12464577.84</c:v>
                  </c:pt>
                  <c:pt idx="13" c:formatCode="#,##0.00">
                    <c:v>12738234.7</c:v>
                  </c:pt>
                  <c:pt idx="14" c:formatCode="#,##0.00">
                    <c:v>12541255.77</c:v>
                  </c:pt>
                  <c:pt idx="15" c:formatCode="#,##0.00">
                    <c:v>11576422.6</c:v>
                  </c:pt>
                  <c:pt idx="16" c:formatCode="#,##0.00">
                    <c:v>10567571.23</c:v>
                  </c:pt>
                  <c:pt idx="17" c:formatCode="#,##0.00">
                    <c:v>10706853.24</c:v>
                  </c:pt>
                  <c:pt idx="18" c:formatCode="#,##0.00">
                    <c:v>10554657.29</c:v>
                  </c:pt>
                  <c:pt idx="19" c:formatCode="#,##0.00">
                    <c:v>10757206.52</c:v>
                  </c:pt>
                  <c:pt idx="20" c:formatCode="#,##0.00">
                    <c:v>10779986.27</c:v>
                  </c:pt>
                  <c:pt idx="21" c:formatCode="#,##0.00">
                    <c:v>10726483.18</c:v>
                  </c:pt>
                  <c:pt idx="22" c:formatCode="#,##0.00">
                    <c:v>11039993.35</c:v>
                  </c:pt>
                  <c:pt idx="23" c:formatCode="#,##0.00">
                    <c:v>11027675.57</c:v>
                  </c:pt>
                  <c:pt idx="24" c:formatCode="#,##0.00">
                    <c:v>10583788.17</c:v>
                  </c:pt>
                  <c:pt idx="25" c:formatCode="#,##0.00">
                    <c:v>9862137.9</c:v>
                  </c:pt>
                  <c:pt idx="26" c:formatCode="#,##0.00">
                    <c:v>9779642.66</c:v>
                  </c:pt>
                  <c:pt idx="27" c:formatCode="#,##0.00">
                    <c:v>9318597.83</c:v>
                  </c:pt>
                  <c:pt idx="28" c:formatCode="#,##0.00">
                    <c:v>10052161.4</c:v>
                  </c:pt>
                  <c:pt idx="29" c:formatCode="#,##0.00">
                    <c:v>9732515.05</c:v>
                  </c:pt>
                  <c:pt idx="30" c:formatCode="#,##0.00">
                    <c:v>10339349.86</c:v>
                  </c:pt>
                  <c:pt idx="31" c:formatCode="#,##0.00">
                    <c:v>11006009.61</c:v>
                  </c:pt>
                  <c:pt idx="32" c:formatCode="#,##0.00">
                    <c:v>10969037.61</c:v>
                  </c:pt>
                  <c:pt idx="33" c:formatCode="#,##0.00">
                    <c:v>12068185.3</c:v>
                  </c:pt>
                  <c:pt idx="34" c:formatCode="#,##0.00">
                    <c:v>12680441.57</c:v>
                  </c:pt>
                  <c:pt idx="35" c:formatCode="#,##0.00">
                    <c:v>13268369.52</c:v>
                  </c:pt>
                  <c:pt idx="36" c:formatCode="#,##0.00">
                    <c:v>13627565.53</c:v>
                  </c:pt>
                  <c:pt idx="37" c:formatCode="#,##0.00">
                    <c:v>13429649.65</c:v>
                  </c:pt>
                  <c:pt idx="38" c:formatCode="#,##0.00">
                    <c:v>10317793.04</c:v>
                  </c:pt>
                  <c:pt idx="39" c:formatCode="#,##0.00">
                    <c:v>10839775.96</c:v>
                  </c:pt>
                  <c:pt idx="40" c:formatCode="#,##0.00">
                    <c:v>10751775.96</c:v>
                  </c:pt>
                  <c:pt idx="41" c:formatCode="#,##0.00">
                    <c:v>11233169.19</c:v>
                  </c:pt>
                  <c:pt idx="42" c:formatCode="#,##0.00">
                    <c:v>10471930.22</c:v>
                  </c:pt>
                  <c:pt idx="43" c:formatCode="#,##0.00">
                    <c:v>10929704.68</c:v>
                  </c:pt>
                  <c:pt idx="44" c:formatCode="#,##0.00">
                    <c:v>11167822.16</c:v>
                  </c:pt>
                  <c:pt idx="45" c:formatCode="#,##0.00">
                    <c:v>12089610.04</c:v>
                  </c:pt>
                  <c:pt idx="46" c:formatCode="#,##0.00">
                    <c:v>11006950.55</c:v>
                  </c:pt>
                  <c:pt idx="47" c:formatCode="#,##0.00">
                    <c:v>10947363.61</c:v>
                  </c:pt>
                  <c:pt idx="48" c:formatCode="#,##0.00">
                    <c:v>11351490.6</c:v>
                  </c:pt>
                  <c:pt idx="49" c:formatCode="#,##0.00">
                    <c:v>11339356.44</c:v>
                  </c:pt>
                  <c:pt idx="50" c:formatCode="#,##0.00">
                    <c:v>11660099.12</c:v>
                  </c:pt>
                  <c:pt idx="51" c:formatCode="#,##0.00">
                    <c:v>12098509.34</c:v>
                  </c:pt>
                  <c:pt idx="52" c:formatCode="#,##0.00">
                    <c:v>12550687.96</c:v>
                  </c:pt>
                  <c:pt idx="53" c:formatCode="#,##0.00">
                    <c:v>12279855.23</c:v>
                  </c:pt>
                  <c:pt idx="54" c:formatCode="#,##0.00">
                    <c:v>11964133.77</c:v>
                  </c:pt>
                  <c:pt idx="55" c:formatCode="#,##0.00">
                    <c:v>11617239.59</c:v>
                  </c:pt>
                  <c:pt idx="56" c:formatCode="#,##0.00">
                    <c:v>12291000.23</c:v>
                  </c:pt>
                  <c:pt idx="57" c:formatCode="#,##0.00">
                    <c:v>12133152.89</c:v>
                  </c:pt>
                  <c:pt idx="58" c:formatCode="#,##0.00">
                    <c:v>11379126.67</c:v>
                  </c:pt>
                  <c:pt idx="59" c:formatCode="#,##0.00">
                    <c:v>11515385.92</c:v>
                  </c:pt>
                  <c:pt idx="60" c:formatCode="#,##0.00">
                    <c:v>11964830.95</c:v>
                  </c:pt>
                  <c:pt idx="61" c:formatCode="#,##0.00">
                    <c:v>11921828.96</c:v>
                  </c:pt>
                  <c:pt idx="62" c:formatCode="#,##0.00">
                    <c:v>12573627.48</c:v>
                  </c:pt>
                  <c:pt idx="63" c:formatCode="#,##0.00">
                    <c:v>12579775.08</c:v>
                  </c:pt>
                  <c:pt idx="64" c:formatCode="#,##0.00">
                    <c:v>12228921.43</c:v>
                  </c:pt>
                  <c:pt idx="65" c:formatCode="#,##0.00">
                    <c:v>12428476.71</c:v>
                  </c:pt>
                  <c:pt idx="66" c:formatCode="#,##0.00">
                    <c:v>12510938.95</c:v>
                  </c:pt>
                  <c:pt idx="67" c:formatCode="#,##0.00">
                    <c:v>13029075.59</c:v>
                  </c:pt>
                  <c:pt idx="68" c:formatCode="#,##0.00">
                    <c:v>12651514.47</c:v>
                  </c:pt>
                  <c:pt idx="69" c:formatCode="#,##0.00">
                    <c:v>12803409.97</c:v>
                  </c:pt>
                  <c:pt idx="70" c:formatCode="#,##0.00">
                    <c:v>12908817.62</c:v>
                  </c:pt>
                  <c:pt idx="71" c:formatCode="#,##0.00">
                    <c:v>12458351.68</c:v>
                  </c:pt>
                  <c:pt idx="72" c:formatCode="#,##0.00">
                    <c:v>11614484.8</c:v>
                  </c:pt>
                  <c:pt idx="73" c:formatCode="#,##0.00">
                    <c:v>11386352.41</c:v>
                  </c:pt>
                  <c:pt idx="74" c:formatCode="#,##0.00">
                    <c:v>11089687.68</c:v>
                  </c:pt>
                  <c:pt idx="75" c:formatCode="#,##0.00">
                    <c:v>11111790.94</c:v>
                  </c:pt>
                  <c:pt idx="76" c:formatCode="#,##0.00">
                    <c:v>11603166.15</c:v>
                  </c:pt>
                  <c:pt idx="77" c:formatCode="#,##0.00">
                    <c:v>12050204.24</c:v>
                  </c:pt>
                  <c:pt idx="78" c:formatCode="#,##0.00">
                    <c:v>12065976.59</c:v>
                  </c:pt>
                  <c:pt idx="79" c:formatCode="#,##0.00">
                    <c:v>11981768.8</c:v>
                  </c:pt>
                  <c:pt idx="80" c:formatCode="#,##0.00">
                    <c:v>11889039.4</c:v>
                  </c:pt>
                  <c:pt idx="81" c:formatCode="#,##0.00">
                    <c:v>11435663.47</c:v>
                  </c:pt>
                  <c:pt idx="82" c:formatCode="#,##0.00">
                    <c:v>12052234.55</c:v>
                  </c:pt>
                  <c:pt idx="83" c:formatCode="#,##0.00">
                    <c:v>12235593.27</c:v>
                  </c:pt>
                  <c:pt idx="84" c:formatCode="#,##0.00">
                    <c:v>13149807.18</c:v>
                  </c:pt>
                  <c:pt idx="85" c:formatCode="#,##0.00">
                    <c:v>13209397.46</c:v>
                  </c:pt>
                  <c:pt idx="86" c:formatCode="#,##0.00">
                    <c:v>13502618.83</c:v>
                  </c:pt>
                  <c:pt idx="87" c:formatCode="#,##0.00">
                    <c:v>12711490.32</c:v>
                  </c:pt>
                  <c:pt idx="88" c:formatCode="#,##0.00">
                    <c:v>12643240.92</c:v>
                  </c:pt>
                  <c:pt idx="89" c:formatCode="#,##0.00">
                    <c:v>12442432.59</c:v>
                  </c:pt>
                </c:lvl>
                <c:lvl>
                  <c:pt idx="0" c:formatCode="dd/mm/yy;@">
                    <c:v>45449</c:v>
                  </c:pt>
                  <c:pt idx="1" c:formatCode="dd/mm/yy;@">
                    <c:v>45456</c:v>
                  </c:pt>
                  <c:pt idx="2" c:formatCode="dd/mm/yy;@">
                    <c:v>45463</c:v>
                  </c:pt>
                  <c:pt idx="3" c:formatCode="dd/mm/yy;@">
                    <c:v>45470</c:v>
                  </c:pt>
                  <c:pt idx="4" c:formatCode="dd/mm/yy;@">
                    <c:v>45477</c:v>
                  </c:pt>
                  <c:pt idx="5" c:formatCode="dd/mm/yy;@">
                    <c:v>45484</c:v>
                  </c:pt>
                  <c:pt idx="6" c:formatCode="dd/mm/yy;@">
                    <c:v>45491</c:v>
                  </c:pt>
                  <c:pt idx="7" c:formatCode="dd/mm/yy;@">
                    <c:v>45498</c:v>
                  </c:pt>
                  <c:pt idx="8" c:formatCode="dd/mm/yy;@">
                    <c:v>45505</c:v>
                  </c:pt>
                  <c:pt idx="9" c:formatCode="dd/mm/yy;@">
                    <c:v>45512</c:v>
                  </c:pt>
                  <c:pt idx="10" c:formatCode="dd/mm/yy;@">
                    <c:v>45519</c:v>
                  </c:pt>
                  <c:pt idx="11" c:formatCode="dd/mm/yy;@">
                    <c:v>45547</c:v>
                  </c:pt>
                  <c:pt idx="12" c:formatCode="dd/mm/yy;@">
                    <c:v>45554</c:v>
                  </c:pt>
                  <c:pt idx="13" c:formatCode="dd/mm/yy;@">
                    <c:v>45561</c:v>
                  </c:pt>
                  <c:pt idx="14" c:formatCode="dd/mm/yy;@">
                    <c:v>45568</c:v>
                  </c:pt>
                  <c:pt idx="15" c:formatCode="dd/mm/yy;@">
                    <c:v>45575</c:v>
                  </c:pt>
                  <c:pt idx="16" c:formatCode="dd/mm/yy;@">
                    <c:v>45582</c:v>
                  </c:pt>
                  <c:pt idx="17" c:formatCode="dd/mm/yy;@">
                    <c:v>45589</c:v>
                  </c:pt>
                  <c:pt idx="18" c:formatCode="dd/mm/yy;@">
                    <c:v>45596</c:v>
                  </c:pt>
                  <c:pt idx="19" c:formatCode="dd/mm/yy;@">
                    <c:v>45603</c:v>
                  </c:pt>
                  <c:pt idx="20" c:formatCode="dd/mm/yy;@">
                    <c:v>45610</c:v>
                  </c:pt>
                  <c:pt idx="21" c:formatCode="dd/mm/yy;@">
                    <c:v>45617</c:v>
                  </c:pt>
                  <c:pt idx="22" c:formatCode="dd/mm/yy;@">
                    <c:v>45624</c:v>
                  </c:pt>
                  <c:pt idx="23" c:formatCode="dd/mm/yy;@">
                    <c:v>45631</c:v>
                  </c:pt>
                  <c:pt idx="24" c:formatCode="dd/mm/yy;@">
                    <c:v>45638</c:v>
                  </c:pt>
                  <c:pt idx="25" c:formatCode="dd/mm/yy;@">
                    <c:v>45645</c:v>
                  </c:pt>
                  <c:pt idx="26" c:formatCode="dd/mm/yy;@">
                    <c:v>45652</c:v>
                  </c:pt>
                  <c:pt idx="27" c:formatCode="dd/mm/yy;@">
                    <c:v>45659</c:v>
                  </c:pt>
                  <c:pt idx="28" c:formatCode="dd/mm/yy;@">
                    <c:v>45666</c:v>
                  </c:pt>
                  <c:pt idx="29" c:formatCode="dd/mm/yy;@">
                    <c:v>45673</c:v>
                  </c:pt>
                  <c:pt idx="30" c:formatCode="dd/mm/yy;@">
                    <c:v>45680</c:v>
                  </c:pt>
                  <c:pt idx="31" c:formatCode="dd/mm/yy;@">
                    <c:v>45687</c:v>
                  </c:pt>
                  <c:pt idx="32" c:formatCode="dd/mm/yy;@">
                    <c:v>45694</c:v>
                  </c:pt>
                  <c:pt idx="33" c:formatCode="dd/mm/yy;@">
                    <c:v>45701</c:v>
                  </c:pt>
                  <c:pt idx="34" c:formatCode="dd/mm/yy;@">
                    <c:v>45708</c:v>
                  </c:pt>
                  <c:pt idx="35" c:formatCode="dd/mm/yy;@">
                    <c:v>45715</c:v>
                  </c:pt>
                  <c:pt idx="36" c:formatCode="dd/mm/yy;@">
                    <c:v>45722</c:v>
                  </c:pt>
                  <c:pt idx="37" c:formatCode="dd/mm/yy;@">
                    <c:v>45730</c:v>
                  </c:pt>
                  <c:pt idx="38" c:formatCode="dd/mm/yy;@">
                    <c:v>45736</c:v>
                  </c:pt>
                  <c:pt idx="39" c:formatCode="dd/mm/yy;@">
                    <c:v>45743</c:v>
                  </c:pt>
                  <c:pt idx="40" c:formatCode="dd/mm/yy;@">
                    <c:v>45750</c:v>
                  </c:pt>
                  <c:pt idx="41" c:formatCode="dd/mm/yy;@">
                    <c:v>45757</c:v>
                  </c:pt>
                  <c:pt idx="42" c:formatCode="dd/mm/yy;@">
                    <c:v>45764</c:v>
                  </c:pt>
                  <c:pt idx="43" c:formatCode="dd/mm/yy;@">
                    <c:v>45771</c:v>
                  </c:pt>
                  <c:pt idx="44" c:formatCode="dd/mm/yy;@">
                    <c:v>45779</c:v>
                  </c:pt>
                  <c:pt idx="45" c:formatCode="dd/mm/yy;@">
                    <c:v>45792</c:v>
                  </c:pt>
                  <c:pt idx="46" c:formatCode="dd/mm/yy;@">
                    <c:v>45799</c:v>
                  </c:pt>
                  <c:pt idx="47" c:formatCode="dd/mm/yy;@">
                    <c:v>45806</c:v>
                  </c:pt>
                  <c:pt idx="48" c:formatCode="dd/mm/yy;@">
                    <c:v>45820</c:v>
                  </c:pt>
                  <c:pt idx="49" c:formatCode="dd/mm/yy;@">
                    <c:v>45827</c:v>
                  </c:pt>
                  <c:pt idx="50" c:formatCode="dd/mm/yy;@">
                    <c:v>45842</c:v>
                  </c:pt>
                  <c:pt idx="51" c:formatCode="dd/mm/yy;@">
                    <c:v>45848</c:v>
                  </c:pt>
                  <c:pt idx="52" c:formatCode="dd/mm/yy;@">
                    <c:v>45856</c:v>
                  </c:pt>
                  <c:pt idx="53" c:formatCode="dd/mm/yy;@">
                    <c:v>45863</c:v>
                  </c:pt>
                  <c:pt idx="54" c:formatCode="dd/mm/yy;@">
                    <c:v>45880</c:v>
                  </c:pt>
                  <c:pt idx="55" c:formatCode="dd/mm/yy;@">
                    <c:v>45891</c:v>
                  </c:pt>
                  <c:pt idx="56" c:formatCode="dd/mm/yy;@">
                    <c:v>45919</c:v>
                  </c:pt>
                  <c:pt idx="57" c:formatCode="dd/mm/yy;@">
                    <c:v>45925</c:v>
                  </c:pt>
                  <c:pt idx="58" c:formatCode="dd/mm/yy;@">
                    <c:v>45933</c:v>
                  </c:pt>
                  <c:pt idx="59" c:formatCode="dd/mm/yy;@">
                    <c:v>45940</c:v>
                  </c:pt>
                  <c:pt idx="60" c:formatCode="dd/mm/yy;@">
                    <c:v>45947</c:v>
                  </c:pt>
                  <c:pt idx="61" c:formatCode="dd/mm/yy;@">
                    <c:v>45952</c:v>
                  </c:pt>
                  <c:pt idx="62" c:formatCode="dd/mm/yy;@">
                    <c:v>45961</c:v>
                  </c:pt>
                  <c:pt idx="63" c:formatCode="dd/mm/yy;@">
                    <c:v>45968</c:v>
                  </c:pt>
                  <c:pt idx="64" c:formatCode="dd/mm/yy;@">
                    <c:v>45975</c:v>
                  </c:pt>
                  <c:pt idx="65" c:formatCode="dd/mm/yy;@">
                    <c:v>45982</c:v>
                  </c:pt>
                  <c:pt idx="66" c:formatCode="dd/mm/yy;@">
                    <c:v>45989</c:v>
                  </c:pt>
                  <c:pt idx="67" c:formatCode="dd/mm/yy;@">
                    <c:v>45996</c:v>
                  </c:pt>
                  <c:pt idx="68" c:formatCode="dd/mm/yy;@">
                    <c:v>46003</c:v>
                  </c:pt>
                  <c:pt idx="69" c:formatCode="dd/mm/yy;@">
                    <c:v>46010</c:v>
                  </c:pt>
                  <c:pt idx="70" c:formatCode="dd/mm/yy;@">
                    <c:v>46017</c:v>
                  </c:pt>
                  <c:pt idx="71" c:formatCode="dd/mm/yy;@">
                    <c:v>46030</c:v>
                  </c:pt>
                  <c:pt idx="72" c:formatCode="dd/mm/yy;@">
                    <c:v>46042</c:v>
                  </c:pt>
                  <c:pt idx="73" c:formatCode="dd/mm/yy;@">
                    <c:v>46051</c:v>
                  </c:pt>
                  <c:pt idx="74" c:formatCode="dd/mm/yy;@">
                    <c:v>46066</c:v>
                  </c:pt>
                  <c:pt idx="75" c:formatCode="dd/mm/yy;@">
                    <c:v>46080</c:v>
                  </c:pt>
                  <c:pt idx="76" c:formatCode="dd/mm/yy;@">
                    <c:v>46087</c:v>
                  </c:pt>
                  <c:pt idx="77" c:formatCode="dd/mm/yy;@">
                    <c:v>46094</c:v>
                  </c:pt>
                  <c:pt idx="78" c:formatCode="dd/mm/yy;@">
                    <c:v>46114</c:v>
                  </c:pt>
                  <c:pt idx="79" c:formatCode="dd/mm/yy;@">
                    <c:v>46125</c:v>
                  </c:pt>
                  <c:pt idx="80" c:formatCode="dd/mm/yy;@">
                    <c:v>46136</c:v>
                  </c:pt>
                  <c:pt idx="81" c:formatCode="dd/mm/yy;@">
                    <c:v>46150</c:v>
                  </c:pt>
                  <c:pt idx="82" c:formatCode="dd/mm/yy;@">
                    <c:v>46157</c:v>
                  </c:pt>
                  <c:pt idx="83" c:formatCode="dd/mm/yy;@">
                    <c:v>46177</c:v>
                  </c:pt>
                  <c:pt idx="84" c:formatCode="dd/mm/yy;@">
                    <c:v>46185</c:v>
                  </c:pt>
                  <c:pt idx="85" c:formatCode="dd/mm/yy;@">
                    <c:v>46192</c:v>
                  </c:pt>
                  <c:pt idx="86" c:formatCode="dd/mm/yy;@">
                    <c:v>46199</c:v>
                  </c:pt>
                  <c:pt idx="87" c:formatCode="dd/mm/yy;@">
                    <c:v>46206</c:v>
                  </c:pt>
                  <c:pt idx="88" c:formatCode="dd/mm/yy;@">
                    <c:v>46213</c:v>
                  </c:pt>
                  <c:pt idx="89" c:formatCode="dd/mm/yy;@">
                    <c:v>46220</c:v>
                  </c:pt>
                </c:lvl>
                <c:lvl/>
              </c:multiLvlStrCache>
            </c:multiLvlStrRef>
          </c:cat>
          <c:val>
            <c:numRef>
              <c:f>NABIL!#REF!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140688"/>
        <c:axId val="655139048"/>
      </c:lineChart>
      <c:catAx>
        <c:axId val="65514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139048"/>
        <c:crossesAt val="0"/>
        <c:auto val="0"/>
        <c:lblAlgn val="ctr"/>
        <c:lblOffset val="100"/>
        <c:tickLblSkip val="7"/>
        <c:noMultiLvlLbl val="1"/>
      </c:catAx>
      <c:valAx>
        <c:axId val="65513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14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25f658-3e01-4d38-907e-7d7b49f0ee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IMPAYES OMAR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8382077240345"/>
          <c:y val="0.315672207640712"/>
          <c:w val="0.776178040244969"/>
          <c:h val="0.517561242344707"/>
        </c:manualLayout>
      </c:layout>
      <c:lineChart>
        <c:grouping val="standard"/>
        <c:varyColors val="0"/>
        <c:ser>
          <c:idx val="0"/>
          <c:order val="0"/>
          <c:tx>
            <c:strRef>
              <c:f>OMAR!$D$74</c:f>
              <c:strCache>
                <c:ptCount val="1"/>
                <c:pt idx="0">
                  <c:v>TOTAL IMPAYES OMAR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OMAR!$C$75:$C$165</c:f>
              <c:numCache>
                <c:formatCode>dd/mm/yy;@</c:formatCode>
                <c:ptCount val="91"/>
                <c:pt idx="0" c:formatCode="dd/mm/yy;@">
                  <c:v>44987</c:v>
                </c:pt>
                <c:pt idx="1" c:formatCode="dd/mm/yy;@">
                  <c:v>45449</c:v>
                </c:pt>
                <c:pt idx="2" c:formatCode="dd/mm/yy;@">
                  <c:v>45456</c:v>
                </c:pt>
                <c:pt idx="3" c:formatCode="dd/mm/yy;@">
                  <c:v>45463</c:v>
                </c:pt>
                <c:pt idx="4" c:formatCode="dd/mm/yy;@">
                  <c:v>45470</c:v>
                </c:pt>
                <c:pt idx="5" c:formatCode="dd/mm/yy;@">
                  <c:v>45477</c:v>
                </c:pt>
                <c:pt idx="6" c:formatCode="dd/mm/yy;@">
                  <c:v>45484</c:v>
                </c:pt>
                <c:pt idx="7" c:formatCode="dd/mm/yy;@">
                  <c:v>45491</c:v>
                </c:pt>
                <c:pt idx="8" c:formatCode="dd/mm/yy;@">
                  <c:v>45498</c:v>
                </c:pt>
                <c:pt idx="9" c:formatCode="dd/mm/yy;@">
                  <c:v>45505</c:v>
                </c:pt>
                <c:pt idx="10" c:formatCode="dd/mm/yy;@">
                  <c:v>45512</c:v>
                </c:pt>
                <c:pt idx="11" c:formatCode="dd/mm/yy;@">
                  <c:v>45519</c:v>
                </c:pt>
                <c:pt idx="12" c:formatCode="dd/mm/yy;@">
                  <c:v>45547</c:v>
                </c:pt>
                <c:pt idx="13" c:formatCode="dd/mm/yy;@">
                  <c:v>45554</c:v>
                </c:pt>
                <c:pt idx="14" c:formatCode="dd/mm/yy;@">
                  <c:v>45561</c:v>
                </c:pt>
                <c:pt idx="15" c:formatCode="dd/mm/yy;@">
                  <c:v>45568</c:v>
                </c:pt>
                <c:pt idx="16" c:formatCode="dd/mm/yy;@">
                  <c:v>45575</c:v>
                </c:pt>
                <c:pt idx="17" c:formatCode="dd/mm/yy;@">
                  <c:v>45582</c:v>
                </c:pt>
                <c:pt idx="18" c:formatCode="dd/mm/yy;@">
                  <c:v>45589</c:v>
                </c:pt>
                <c:pt idx="19" c:formatCode="dd/mm/yy;@">
                  <c:v>45596</c:v>
                </c:pt>
                <c:pt idx="20" c:formatCode="dd/mm/yy;@">
                  <c:v>45603</c:v>
                </c:pt>
                <c:pt idx="21" c:formatCode="dd/mm/yy;@">
                  <c:v>45610</c:v>
                </c:pt>
                <c:pt idx="22" c:formatCode="dd/mm/yy;@">
                  <c:v>45617</c:v>
                </c:pt>
                <c:pt idx="23" c:formatCode="dd/mm/yy;@">
                  <c:v>45624</c:v>
                </c:pt>
                <c:pt idx="24" c:formatCode="dd/mm/yy;@">
                  <c:v>45631</c:v>
                </c:pt>
                <c:pt idx="25" c:formatCode="dd/mm/yy;@">
                  <c:v>45638</c:v>
                </c:pt>
                <c:pt idx="26" c:formatCode="dd/mm/yy;@">
                  <c:v>45645</c:v>
                </c:pt>
                <c:pt idx="27" c:formatCode="dd/mm/yy;@">
                  <c:v>45652</c:v>
                </c:pt>
                <c:pt idx="28" c:formatCode="dd/mm/yy;@">
                  <c:v>45659</c:v>
                </c:pt>
                <c:pt idx="29" c:formatCode="dd/mm/yy;@">
                  <c:v>45666</c:v>
                </c:pt>
                <c:pt idx="30" c:formatCode="dd/mm/yy;@">
                  <c:v>45673</c:v>
                </c:pt>
                <c:pt idx="31" c:formatCode="dd/mm/yy;@">
                  <c:v>45680</c:v>
                </c:pt>
                <c:pt idx="32" c:formatCode="dd/mm/yy;@">
                  <c:v>45687</c:v>
                </c:pt>
                <c:pt idx="33" c:formatCode="dd/mm/yy;@">
                  <c:v>45694</c:v>
                </c:pt>
                <c:pt idx="34" c:formatCode="dd/mm/yy;@">
                  <c:v>45701</c:v>
                </c:pt>
                <c:pt idx="35" c:formatCode="dd/mm/yy;@">
                  <c:v>45708</c:v>
                </c:pt>
                <c:pt idx="36" c:formatCode="dd/mm/yy;@">
                  <c:v>45715</c:v>
                </c:pt>
                <c:pt idx="37" c:formatCode="dd/mm/yy;@">
                  <c:v>45722</c:v>
                </c:pt>
                <c:pt idx="38" c:formatCode="dd/mm/yy;@">
                  <c:v>45730</c:v>
                </c:pt>
                <c:pt idx="39" c:formatCode="dd/mm/yy;@">
                  <c:v>45736</c:v>
                </c:pt>
                <c:pt idx="40" c:formatCode="dd/mm/yy;@">
                  <c:v>45743</c:v>
                </c:pt>
                <c:pt idx="41" c:formatCode="dd/mm/yy;@">
                  <c:v>45750</c:v>
                </c:pt>
                <c:pt idx="42" c:formatCode="dd/mm/yy;@">
                  <c:v>45757</c:v>
                </c:pt>
                <c:pt idx="43" c:formatCode="dd/mm/yy;@">
                  <c:v>45764</c:v>
                </c:pt>
                <c:pt idx="44" c:formatCode="dd/mm/yy;@">
                  <c:v>45771</c:v>
                </c:pt>
                <c:pt idx="45" c:formatCode="dd/mm/yy;@">
                  <c:v>45779</c:v>
                </c:pt>
                <c:pt idx="46" c:formatCode="dd/mm/yy;@">
                  <c:v>45792</c:v>
                </c:pt>
                <c:pt idx="47" c:formatCode="dd/mm/yy;@">
                  <c:v>45799</c:v>
                </c:pt>
                <c:pt idx="48" c:formatCode="dd/mm/yy;@">
                  <c:v>45806</c:v>
                </c:pt>
                <c:pt idx="49" c:formatCode="dd/mm/yy;@">
                  <c:v>45820</c:v>
                </c:pt>
                <c:pt idx="50" c:formatCode="dd/mm/yy;@">
                  <c:v>45827</c:v>
                </c:pt>
                <c:pt idx="51" c:formatCode="dd/mm/yy;@">
                  <c:v>45842</c:v>
                </c:pt>
                <c:pt idx="52" c:formatCode="dd/mm/yy;@">
                  <c:v>45848</c:v>
                </c:pt>
                <c:pt idx="53" c:formatCode="dd/mm/yy;@">
                  <c:v>45856</c:v>
                </c:pt>
                <c:pt idx="54" c:formatCode="dd/mm/yy;@">
                  <c:v>45863</c:v>
                </c:pt>
                <c:pt idx="55" c:formatCode="dd/mm/yy;@">
                  <c:v>45880</c:v>
                </c:pt>
                <c:pt idx="56" c:formatCode="dd/mm/yy;@">
                  <c:v>45891</c:v>
                </c:pt>
                <c:pt idx="57" c:formatCode="dd/mm/yy;@">
                  <c:v>45919</c:v>
                </c:pt>
                <c:pt idx="58" c:formatCode="dd/mm/yy;@">
                  <c:v>45925</c:v>
                </c:pt>
                <c:pt idx="59" c:formatCode="dd/mm/yy;@">
                  <c:v>45933</c:v>
                </c:pt>
                <c:pt idx="60" c:formatCode="dd/mm/yy;@">
                  <c:v>45940</c:v>
                </c:pt>
                <c:pt idx="61" c:formatCode="dd/mm/yy;@">
                  <c:v>45947</c:v>
                </c:pt>
                <c:pt idx="62" c:formatCode="dd/mm/yy;@">
                  <c:v>45952</c:v>
                </c:pt>
                <c:pt idx="63" c:formatCode="dd/mm/yy;@">
                  <c:v>45961</c:v>
                </c:pt>
                <c:pt idx="64" c:formatCode="dd/mm/yy;@">
                  <c:v>45968</c:v>
                </c:pt>
                <c:pt idx="65" c:formatCode="dd/mm/yy;@">
                  <c:v>45975</c:v>
                </c:pt>
                <c:pt idx="66" c:formatCode="dd/mm/yy;@">
                  <c:v>45982</c:v>
                </c:pt>
                <c:pt idx="67" c:formatCode="dd/mm/yy;@">
                  <c:v>45989</c:v>
                </c:pt>
                <c:pt idx="68" c:formatCode="dd/mm/yy;@">
                  <c:v>45996</c:v>
                </c:pt>
                <c:pt idx="69" c:formatCode="dd/mm/yy;@">
                  <c:v>46003</c:v>
                </c:pt>
                <c:pt idx="70" c:formatCode="dd/mm/yy;@">
                  <c:v>46010</c:v>
                </c:pt>
                <c:pt idx="71" c:formatCode="dd/mm/yy;@">
                  <c:v>46017</c:v>
                </c:pt>
                <c:pt idx="72" c:formatCode="dd/mm/yy;@">
                  <c:v>46030</c:v>
                </c:pt>
                <c:pt idx="73" c:formatCode="dd/mm/yy;@">
                  <c:v>46042</c:v>
                </c:pt>
                <c:pt idx="74" c:formatCode="dd/mm/yy;@">
                  <c:v>46051</c:v>
                </c:pt>
                <c:pt idx="75" c:formatCode="dd/mm/yy;@">
                  <c:v>46066</c:v>
                </c:pt>
                <c:pt idx="76" c:formatCode="dd/mm/yy;@">
                  <c:v>46080</c:v>
                </c:pt>
                <c:pt idx="77" c:formatCode="dd/mm/yy;@">
                  <c:v>46087</c:v>
                </c:pt>
                <c:pt idx="78" c:formatCode="dd/mm/yy;@">
                  <c:v>46094</c:v>
                </c:pt>
                <c:pt idx="79" c:formatCode="dd/mm/yy;@">
                  <c:v>46114</c:v>
                </c:pt>
                <c:pt idx="80" c:formatCode="dd/mm/yy;@">
                  <c:v>46125</c:v>
                </c:pt>
                <c:pt idx="81" c:formatCode="dd/mm/yy;@">
                  <c:v>46136</c:v>
                </c:pt>
                <c:pt idx="82" c:formatCode="dd/mm/yy;@">
                  <c:v>46150</c:v>
                </c:pt>
                <c:pt idx="83" c:formatCode="dd/mm/yy;@">
                  <c:v>46157</c:v>
                </c:pt>
                <c:pt idx="84" c:formatCode="dd/mm/yy;@">
                  <c:v>46177</c:v>
                </c:pt>
                <c:pt idx="85" c:formatCode="dd/mm/yy;@">
                  <c:v>46185</c:v>
                </c:pt>
                <c:pt idx="86" c:formatCode="dd/mm/yy;@">
                  <c:v>46192</c:v>
                </c:pt>
                <c:pt idx="87" c:formatCode="dd/mm/yy;@">
                  <c:v>46199</c:v>
                </c:pt>
                <c:pt idx="88" c:formatCode="dd/mm/yy;@">
                  <c:v>46206</c:v>
                </c:pt>
                <c:pt idx="89" c:formatCode="dd/mm/yy;@">
                  <c:v>46213</c:v>
                </c:pt>
                <c:pt idx="90" c:formatCode="dd/mm/yy;@">
                  <c:v>46220</c:v>
                </c:pt>
              </c:numCache>
            </c:numRef>
          </c:cat>
          <c:val>
            <c:numRef>
              <c:f>OMAR!$D$75:$D$165</c:f>
              <c:numCache>
                <c:formatCode>#,##0.00</c:formatCode>
                <c:ptCount val="91"/>
                <c:pt idx="0">
                  <c:v>2932328.04</c:v>
                </c:pt>
                <c:pt idx="1">
                  <c:v>2767814.08</c:v>
                </c:pt>
                <c:pt idx="2">
                  <c:v>2853842.08</c:v>
                </c:pt>
                <c:pt idx="3">
                  <c:v>3153946.08</c:v>
                </c:pt>
                <c:pt idx="4">
                  <c:v>3153946.08</c:v>
                </c:pt>
                <c:pt idx="5">
                  <c:v>2951893.98</c:v>
                </c:pt>
                <c:pt idx="6">
                  <c:v>2878338.68</c:v>
                </c:pt>
                <c:pt idx="7">
                  <c:v>2827597.48</c:v>
                </c:pt>
                <c:pt idx="8">
                  <c:v>2803725.48</c:v>
                </c:pt>
                <c:pt idx="9">
                  <c:v>2893725.48</c:v>
                </c:pt>
                <c:pt idx="10">
                  <c:v>3220504.53</c:v>
                </c:pt>
                <c:pt idx="11">
                  <c:v>3227270.63</c:v>
                </c:pt>
                <c:pt idx="12">
                  <c:v>3414317.83</c:v>
                </c:pt>
                <c:pt idx="13">
                  <c:v>3467764.54</c:v>
                </c:pt>
                <c:pt idx="14">
                  <c:v>3647571.54</c:v>
                </c:pt>
                <c:pt idx="15">
                  <c:v>3741129.05</c:v>
                </c:pt>
                <c:pt idx="16">
                  <c:v>3631573.35</c:v>
                </c:pt>
                <c:pt idx="17">
                  <c:v>3321130.69</c:v>
                </c:pt>
                <c:pt idx="18">
                  <c:v>3138162.35</c:v>
                </c:pt>
                <c:pt idx="19">
                  <c:v>3475930.63</c:v>
                </c:pt>
                <c:pt idx="20">
                  <c:v>3475930.63</c:v>
                </c:pt>
                <c:pt idx="21">
                  <c:v>3226421.78</c:v>
                </c:pt>
                <c:pt idx="22">
                  <c:v>3271421.78</c:v>
                </c:pt>
                <c:pt idx="23">
                  <c:v>3392220.88</c:v>
                </c:pt>
                <c:pt idx="24">
                  <c:v>3354666.92</c:v>
                </c:pt>
                <c:pt idx="25">
                  <c:v>3354666.92</c:v>
                </c:pt>
                <c:pt idx="26">
                  <c:v>3038828.18</c:v>
                </c:pt>
                <c:pt idx="27">
                  <c:v>3068577.78</c:v>
                </c:pt>
                <c:pt idx="28">
                  <c:v>3007415.78</c:v>
                </c:pt>
                <c:pt idx="29">
                  <c:v>2828363.88</c:v>
                </c:pt>
                <c:pt idx="30">
                  <c:v>2777363.88</c:v>
                </c:pt>
                <c:pt idx="31">
                  <c:v>3005701.88</c:v>
                </c:pt>
                <c:pt idx="32">
                  <c:v>2930044.88</c:v>
                </c:pt>
                <c:pt idx="33">
                  <c:v>2930044.88</c:v>
                </c:pt>
                <c:pt idx="34">
                  <c:v>3015480.88</c:v>
                </c:pt>
                <c:pt idx="35">
                  <c:v>2959420.88</c:v>
                </c:pt>
                <c:pt idx="36">
                  <c:v>2872984.88</c:v>
                </c:pt>
                <c:pt idx="37">
                  <c:v>2812741.88</c:v>
                </c:pt>
                <c:pt idx="38">
                  <c:v>2886741.88</c:v>
                </c:pt>
                <c:pt idx="39">
                  <c:v>2809741.88</c:v>
                </c:pt>
                <c:pt idx="40">
                  <c:v>2799049.88</c:v>
                </c:pt>
                <c:pt idx="41">
                  <c:v>2799049.88</c:v>
                </c:pt>
                <c:pt idx="42">
                  <c:v>2773249.88</c:v>
                </c:pt>
                <c:pt idx="43">
                  <c:v>2798249.88</c:v>
                </c:pt>
                <c:pt idx="44">
                  <c:v>2922121.5</c:v>
                </c:pt>
                <c:pt idx="45">
                  <c:v>2790514.82</c:v>
                </c:pt>
                <c:pt idx="46">
                  <c:v>2902202.62</c:v>
                </c:pt>
                <c:pt idx="47">
                  <c:v>2774642.62</c:v>
                </c:pt>
                <c:pt idx="48">
                  <c:v>2825142.62</c:v>
                </c:pt>
                <c:pt idx="49">
                  <c:v>2916922.87</c:v>
                </c:pt>
                <c:pt idx="50">
                  <c:v>2956234.47</c:v>
                </c:pt>
                <c:pt idx="51">
                  <c:v>2830647.25</c:v>
                </c:pt>
                <c:pt idx="52">
                  <c:v>2674766.44</c:v>
                </c:pt>
                <c:pt idx="53">
                  <c:v>2924819.25</c:v>
                </c:pt>
                <c:pt idx="54">
                  <c:v>2611982.87</c:v>
                </c:pt>
                <c:pt idx="55">
                  <c:v>2911848.44</c:v>
                </c:pt>
                <c:pt idx="56">
                  <c:v>2832606.44</c:v>
                </c:pt>
                <c:pt idx="57">
                  <c:v>3186853.64</c:v>
                </c:pt>
                <c:pt idx="58">
                  <c:v>3171853.64</c:v>
                </c:pt>
                <c:pt idx="59">
                  <c:v>3273053.64</c:v>
                </c:pt>
                <c:pt idx="60">
                  <c:v>2957264.87</c:v>
                </c:pt>
                <c:pt idx="61">
                  <c:v>3187485.37</c:v>
                </c:pt>
                <c:pt idx="62">
                  <c:v>2714993.37</c:v>
                </c:pt>
                <c:pt idx="63">
                  <c:v>3003871.37</c:v>
                </c:pt>
                <c:pt idx="64">
                  <c:v>2923871.37</c:v>
                </c:pt>
                <c:pt idx="65">
                  <c:v>2899292.73</c:v>
                </c:pt>
                <c:pt idx="66">
                  <c:v>3174387.03</c:v>
                </c:pt>
                <c:pt idx="67">
                  <c:v>3174387.03</c:v>
                </c:pt>
                <c:pt idx="68">
                  <c:v>3170427.26</c:v>
                </c:pt>
                <c:pt idx="69">
                  <c:v>3114167.26</c:v>
                </c:pt>
                <c:pt idx="70">
                  <c:v>3139167.26</c:v>
                </c:pt>
                <c:pt idx="71">
                  <c:v>3200941.14</c:v>
                </c:pt>
                <c:pt idx="72">
                  <c:v>3270504.44</c:v>
                </c:pt>
                <c:pt idx="73">
                  <c:v>3262692.58</c:v>
                </c:pt>
                <c:pt idx="74">
                  <c:v>3084564.81</c:v>
                </c:pt>
                <c:pt idx="75">
                  <c:v>3479106.44</c:v>
                </c:pt>
                <c:pt idx="76">
                  <c:v>3490964.73</c:v>
                </c:pt>
                <c:pt idx="77">
                  <c:v>3554584.83</c:v>
                </c:pt>
                <c:pt idx="78">
                  <c:v>3626474.76</c:v>
                </c:pt>
                <c:pt idx="79">
                  <c:v>3560694.18</c:v>
                </c:pt>
                <c:pt idx="80">
                  <c:v>3705449.11</c:v>
                </c:pt>
                <c:pt idx="81">
                  <c:v>3592623.21</c:v>
                </c:pt>
                <c:pt idx="82">
                  <c:v>3647623.21</c:v>
                </c:pt>
                <c:pt idx="83">
                  <c:v>3965911.13</c:v>
                </c:pt>
                <c:pt idx="84">
                  <c:v>3936674.25</c:v>
                </c:pt>
                <c:pt idx="85">
                  <c:v>3991005.45</c:v>
                </c:pt>
                <c:pt idx="86">
                  <c:v>3782521.52</c:v>
                </c:pt>
                <c:pt idx="87">
                  <c:v>3533371.22</c:v>
                </c:pt>
                <c:pt idx="88">
                  <c:v>3605067.22</c:v>
                </c:pt>
                <c:pt idx="89">
                  <c:v>3550067.22</c:v>
                </c:pt>
                <c:pt idx="90">
                  <c:v>3478371.22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OMAR!$E$74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OMAR!$C$75:$C$165</c:f>
              <c:numCache>
                <c:formatCode>dd/mm/yy;@</c:formatCode>
                <c:ptCount val="91"/>
                <c:pt idx="0" c:formatCode="dd/mm/yy;@">
                  <c:v>44987</c:v>
                </c:pt>
                <c:pt idx="1" c:formatCode="dd/mm/yy;@">
                  <c:v>45449</c:v>
                </c:pt>
                <c:pt idx="2" c:formatCode="dd/mm/yy;@">
                  <c:v>45456</c:v>
                </c:pt>
                <c:pt idx="3" c:formatCode="dd/mm/yy;@">
                  <c:v>45463</c:v>
                </c:pt>
                <c:pt idx="4" c:formatCode="dd/mm/yy;@">
                  <c:v>45470</c:v>
                </c:pt>
                <c:pt idx="5" c:formatCode="dd/mm/yy;@">
                  <c:v>45477</c:v>
                </c:pt>
                <c:pt idx="6" c:formatCode="dd/mm/yy;@">
                  <c:v>45484</c:v>
                </c:pt>
                <c:pt idx="7" c:formatCode="dd/mm/yy;@">
                  <c:v>45491</c:v>
                </c:pt>
                <c:pt idx="8" c:formatCode="dd/mm/yy;@">
                  <c:v>45498</c:v>
                </c:pt>
                <c:pt idx="9" c:formatCode="dd/mm/yy;@">
                  <c:v>45505</c:v>
                </c:pt>
                <c:pt idx="10" c:formatCode="dd/mm/yy;@">
                  <c:v>45512</c:v>
                </c:pt>
                <c:pt idx="11" c:formatCode="dd/mm/yy;@">
                  <c:v>45519</c:v>
                </c:pt>
                <c:pt idx="12" c:formatCode="dd/mm/yy;@">
                  <c:v>45547</c:v>
                </c:pt>
                <c:pt idx="13" c:formatCode="dd/mm/yy;@">
                  <c:v>45554</c:v>
                </c:pt>
                <c:pt idx="14" c:formatCode="dd/mm/yy;@">
                  <c:v>45561</c:v>
                </c:pt>
                <c:pt idx="15" c:formatCode="dd/mm/yy;@">
                  <c:v>45568</c:v>
                </c:pt>
                <c:pt idx="16" c:formatCode="dd/mm/yy;@">
                  <c:v>45575</c:v>
                </c:pt>
                <c:pt idx="17" c:formatCode="dd/mm/yy;@">
                  <c:v>45582</c:v>
                </c:pt>
                <c:pt idx="18" c:formatCode="dd/mm/yy;@">
                  <c:v>45589</c:v>
                </c:pt>
                <c:pt idx="19" c:formatCode="dd/mm/yy;@">
                  <c:v>45596</c:v>
                </c:pt>
                <c:pt idx="20" c:formatCode="dd/mm/yy;@">
                  <c:v>45603</c:v>
                </c:pt>
                <c:pt idx="21" c:formatCode="dd/mm/yy;@">
                  <c:v>45610</c:v>
                </c:pt>
                <c:pt idx="22" c:formatCode="dd/mm/yy;@">
                  <c:v>45617</c:v>
                </c:pt>
                <c:pt idx="23" c:formatCode="dd/mm/yy;@">
                  <c:v>45624</c:v>
                </c:pt>
                <c:pt idx="24" c:formatCode="dd/mm/yy;@">
                  <c:v>45631</c:v>
                </c:pt>
                <c:pt idx="25" c:formatCode="dd/mm/yy;@">
                  <c:v>45638</c:v>
                </c:pt>
                <c:pt idx="26" c:formatCode="dd/mm/yy;@">
                  <c:v>45645</c:v>
                </c:pt>
                <c:pt idx="27" c:formatCode="dd/mm/yy;@">
                  <c:v>45652</c:v>
                </c:pt>
                <c:pt idx="28" c:formatCode="dd/mm/yy;@">
                  <c:v>45659</c:v>
                </c:pt>
                <c:pt idx="29" c:formatCode="dd/mm/yy;@">
                  <c:v>45666</c:v>
                </c:pt>
                <c:pt idx="30" c:formatCode="dd/mm/yy;@">
                  <c:v>45673</c:v>
                </c:pt>
                <c:pt idx="31" c:formatCode="dd/mm/yy;@">
                  <c:v>45680</c:v>
                </c:pt>
                <c:pt idx="32" c:formatCode="dd/mm/yy;@">
                  <c:v>45687</c:v>
                </c:pt>
                <c:pt idx="33" c:formatCode="dd/mm/yy;@">
                  <c:v>45694</c:v>
                </c:pt>
                <c:pt idx="34" c:formatCode="dd/mm/yy;@">
                  <c:v>45701</c:v>
                </c:pt>
                <c:pt idx="35" c:formatCode="dd/mm/yy;@">
                  <c:v>45708</c:v>
                </c:pt>
                <c:pt idx="36" c:formatCode="dd/mm/yy;@">
                  <c:v>45715</c:v>
                </c:pt>
                <c:pt idx="37" c:formatCode="dd/mm/yy;@">
                  <c:v>45722</c:v>
                </c:pt>
                <c:pt idx="38" c:formatCode="dd/mm/yy;@">
                  <c:v>45730</c:v>
                </c:pt>
                <c:pt idx="39" c:formatCode="dd/mm/yy;@">
                  <c:v>45736</c:v>
                </c:pt>
                <c:pt idx="40" c:formatCode="dd/mm/yy;@">
                  <c:v>45743</c:v>
                </c:pt>
                <c:pt idx="41" c:formatCode="dd/mm/yy;@">
                  <c:v>45750</c:v>
                </c:pt>
                <c:pt idx="42" c:formatCode="dd/mm/yy;@">
                  <c:v>45757</c:v>
                </c:pt>
                <c:pt idx="43" c:formatCode="dd/mm/yy;@">
                  <c:v>45764</c:v>
                </c:pt>
                <c:pt idx="44" c:formatCode="dd/mm/yy;@">
                  <c:v>45771</c:v>
                </c:pt>
                <c:pt idx="45" c:formatCode="dd/mm/yy;@">
                  <c:v>45779</c:v>
                </c:pt>
                <c:pt idx="46" c:formatCode="dd/mm/yy;@">
                  <c:v>45792</c:v>
                </c:pt>
                <c:pt idx="47" c:formatCode="dd/mm/yy;@">
                  <c:v>45799</c:v>
                </c:pt>
                <c:pt idx="48" c:formatCode="dd/mm/yy;@">
                  <c:v>45806</c:v>
                </c:pt>
                <c:pt idx="49" c:formatCode="dd/mm/yy;@">
                  <c:v>45820</c:v>
                </c:pt>
                <c:pt idx="50" c:formatCode="dd/mm/yy;@">
                  <c:v>45827</c:v>
                </c:pt>
                <c:pt idx="51" c:formatCode="dd/mm/yy;@">
                  <c:v>45842</c:v>
                </c:pt>
                <c:pt idx="52" c:formatCode="dd/mm/yy;@">
                  <c:v>45848</c:v>
                </c:pt>
                <c:pt idx="53" c:formatCode="dd/mm/yy;@">
                  <c:v>45856</c:v>
                </c:pt>
                <c:pt idx="54" c:formatCode="dd/mm/yy;@">
                  <c:v>45863</c:v>
                </c:pt>
                <c:pt idx="55" c:formatCode="dd/mm/yy;@">
                  <c:v>45880</c:v>
                </c:pt>
                <c:pt idx="56" c:formatCode="dd/mm/yy;@">
                  <c:v>45891</c:v>
                </c:pt>
                <c:pt idx="57" c:formatCode="dd/mm/yy;@">
                  <c:v>45919</c:v>
                </c:pt>
                <c:pt idx="58" c:formatCode="dd/mm/yy;@">
                  <c:v>45925</c:v>
                </c:pt>
                <c:pt idx="59" c:formatCode="dd/mm/yy;@">
                  <c:v>45933</c:v>
                </c:pt>
                <c:pt idx="60" c:formatCode="dd/mm/yy;@">
                  <c:v>45940</c:v>
                </c:pt>
                <c:pt idx="61" c:formatCode="dd/mm/yy;@">
                  <c:v>45947</c:v>
                </c:pt>
                <c:pt idx="62" c:formatCode="dd/mm/yy;@">
                  <c:v>45952</c:v>
                </c:pt>
                <c:pt idx="63" c:formatCode="dd/mm/yy;@">
                  <c:v>45961</c:v>
                </c:pt>
                <c:pt idx="64" c:formatCode="dd/mm/yy;@">
                  <c:v>45968</c:v>
                </c:pt>
                <c:pt idx="65" c:formatCode="dd/mm/yy;@">
                  <c:v>45975</c:v>
                </c:pt>
                <c:pt idx="66" c:formatCode="dd/mm/yy;@">
                  <c:v>45982</c:v>
                </c:pt>
                <c:pt idx="67" c:formatCode="dd/mm/yy;@">
                  <c:v>45989</c:v>
                </c:pt>
                <c:pt idx="68" c:formatCode="dd/mm/yy;@">
                  <c:v>45996</c:v>
                </c:pt>
                <c:pt idx="69" c:formatCode="dd/mm/yy;@">
                  <c:v>46003</c:v>
                </c:pt>
                <c:pt idx="70" c:formatCode="dd/mm/yy;@">
                  <c:v>46010</c:v>
                </c:pt>
                <c:pt idx="71" c:formatCode="dd/mm/yy;@">
                  <c:v>46017</c:v>
                </c:pt>
                <c:pt idx="72" c:formatCode="dd/mm/yy;@">
                  <c:v>46030</c:v>
                </c:pt>
                <c:pt idx="73" c:formatCode="dd/mm/yy;@">
                  <c:v>46042</c:v>
                </c:pt>
                <c:pt idx="74" c:formatCode="dd/mm/yy;@">
                  <c:v>46051</c:v>
                </c:pt>
                <c:pt idx="75" c:formatCode="dd/mm/yy;@">
                  <c:v>46066</c:v>
                </c:pt>
                <c:pt idx="76" c:formatCode="dd/mm/yy;@">
                  <c:v>46080</c:v>
                </c:pt>
                <c:pt idx="77" c:formatCode="dd/mm/yy;@">
                  <c:v>46087</c:v>
                </c:pt>
                <c:pt idx="78" c:formatCode="dd/mm/yy;@">
                  <c:v>46094</c:v>
                </c:pt>
                <c:pt idx="79" c:formatCode="dd/mm/yy;@">
                  <c:v>46114</c:v>
                </c:pt>
                <c:pt idx="80" c:formatCode="dd/mm/yy;@">
                  <c:v>46125</c:v>
                </c:pt>
                <c:pt idx="81" c:formatCode="dd/mm/yy;@">
                  <c:v>46136</c:v>
                </c:pt>
                <c:pt idx="82" c:formatCode="dd/mm/yy;@">
                  <c:v>46150</c:v>
                </c:pt>
                <c:pt idx="83" c:formatCode="dd/mm/yy;@">
                  <c:v>46157</c:v>
                </c:pt>
                <c:pt idx="84" c:formatCode="dd/mm/yy;@">
                  <c:v>46177</c:v>
                </c:pt>
                <c:pt idx="85" c:formatCode="dd/mm/yy;@">
                  <c:v>46185</c:v>
                </c:pt>
                <c:pt idx="86" c:formatCode="dd/mm/yy;@">
                  <c:v>46192</c:v>
                </c:pt>
                <c:pt idx="87" c:formatCode="dd/mm/yy;@">
                  <c:v>46199</c:v>
                </c:pt>
                <c:pt idx="88" c:formatCode="dd/mm/yy;@">
                  <c:v>46206</c:v>
                </c:pt>
                <c:pt idx="89" c:formatCode="dd/mm/yy;@">
                  <c:v>46213</c:v>
                </c:pt>
                <c:pt idx="90" c:formatCode="dd/mm/yy;@">
                  <c:v>46220</c:v>
                </c:pt>
              </c:numCache>
            </c:numRef>
          </c:cat>
          <c:val>
            <c:numRef>
              <c:f>OMAR!$E$75:$E$75</c:f>
              <c:numCache>
                <c:formatCode>#,##0.00</c:formatCode>
                <c:ptCount val="1"/>
              </c:numCache>
            </c:numRef>
          </c:val>
          <c:smooth val="0"/>
        </c:ser>
        <c:ser>
          <c:idx val="2"/>
          <c:order val="2"/>
          <c:tx>
            <c:strRef>
              <c:f>OMAR!$F$74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OMAR!$C$75:$C$165</c:f>
              <c:numCache>
                <c:formatCode>dd/mm/yy;@</c:formatCode>
                <c:ptCount val="91"/>
                <c:pt idx="0" c:formatCode="dd/mm/yy;@">
                  <c:v>44987</c:v>
                </c:pt>
                <c:pt idx="1" c:formatCode="dd/mm/yy;@">
                  <c:v>45449</c:v>
                </c:pt>
                <c:pt idx="2" c:formatCode="dd/mm/yy;@">
                  <c:v>45456</c:v>
                </c:pt>
                <c:pt idx="3" c:formatCode="dd/mm/yy;@">
                  <c:v>45463</c:v>
                </c:pt>
                <c:pt idx="4" c:formatCode="dd/mm/yy;@">
                  <c:v>45470</c:v>
                </c:pt>
                <c:pt idx="5" c:formatCode="dd/mm/yy;@">
                  <c:v>45477</c:v>
                </c:pt>
                <c:pt idx="6" c:formatCode="dd/mm/yy;@">
                  <c:v>45484</c:v>
                </c:pt>
                <c:pt idx="7" c:formatCode="dd/mm/yy;@">
                  <c:v>45491</c:v>
                </c:pt>
                <c:pt idx="8" c:formatCode="dd/mm/yy;@">
                  <c:v>45498</c:v>
                </c:pt>
                <c:pt idx="9" c:formatCode="dd/mm/yy;@">
                  <c:v>45505</c:v>
                </c:pt>
                <c:pt idx="10" c:formatCode="dd/mm/yy;@">
                  <c:v>45512</c:v>
                </c:pt>
                <c:pt idx="11" c:formatCode="dd/mm/yy;@">
                  <c:v>45519</c:v>
                </c:pt>
                <c:pt idx="12" c:formatCode="dd/mm/yy;@">
                  <c:v>45547</c:v>
                </c:pt>
                <c:pt idx="13" c:formatCode="dd/mm/yy;@">
                  <c:v>45554</c:v>
                </c:pt>
                <c:pt idx="14" c:formatCode="dd/mm/yy;@">
                  <c:v>45561</c:v>
                </c:pt>
                <c:pt idx="15" c:formatCode="dd/mm/yy;@">
                  <c:v>45568</c:v>
                </c:pt>
                <c:pt idx="16" c:formatCode="dd/mm/yy;@">
                  <c:v>45575</c:v>
                </c:pt>
                <c:pt idx="17" c:formatCode="dd/mm/yy;@">
                  <c:v>45582</c:v>
                </c:pt>
                <c:pt idx="18" c:formatCode="dd/mm/yy;@">
                  <c:v>45589</c:v>
                </c:pt>
                <c:pt idx="19" c:formatCode="dd/mm/yy;@">
                  <c:v>45596</c:v>
                </c:pt>
                <c:pt idx="20" c:formatCode="dd/mm/yy;@">
                  <c:v>45603</c:v>
                </c:pt>
                <c:pt idx="21" c:formatCode="dd/mm/yy;@">
                  <c:v>45610</c:v>
                </c:pt>
                <c:pt idx="22" c:formatCode="dd/mm/yy;@">
                  <c:v>45617</c:v>
                </c:pt>
                <c:pt idx="23" c:formatCode="dd/mm/yy;@">
                  <c:v>45624</c:v>
                </c:pt>
                <c:pt idx="24" c:formatCode="dd/mm/yy;@">
                  <c:v>45631</c:v>
                </c:pt>
                <c:pt idx="25" c:formatCode="dd/mm/yy;@">
                  <c:v>45638</c:v>
                </c:pt>
                <c:pt idx="26" c:formatCode="dd/mm/yy;@">
                  <c:v>45645</c:v>
                </c:pt>
                <c:pt idx="27" c:formatCode="dd/mm/yy;@">
                  <c:v>45652</c:v>
                </c:pt>
                <c:pt idx="28" c:formatCode="dd/mm/yy;@">
                  <c:v>45659</c:v>
                </c:pt>
                <c:pt idx="29" c:formatCode="dd/mm/yy;@">
                  <c:v>45666</c:v>
                </c:pt>
                <c:pt idx="30" c:formatCode="dd/mm/yy;@">
                  <c:v>45673</c:v>
                </c:pt>
                <c:pt idx="31" c:formatCode="dd/mm/yy;@">
                  <c:v>45680</c:v>
                </c:pt>
                <c:pt idx="32" c:formatCode="dd/mm/yy;@">
                  <c:v>45687</c:v>
                </c:pt>
                <c:pt idx="33" c:formatCode="dd/mm/yy;@">
                  <c:v>45694</c:v>
                </c:pt>
                <c:pt idx="34" c:formatCode="dd/mm/yy;@">
                  <c:v>45701</c:v>
                </c:pt>
                <c:pt idx="35" c:formatCode="dd/mm/yy;@">
                  <c:v>45708</c:v>
                </c:pt>
                <c:pt idx="36" c:formatCode="dd/mm/yy;@">
                  <c:v>45715</c:v>
                </c:pt>
                <c:pt idx="37" c:formatCode="dd/mm/yy;@">
                  <c:v>45722</c:v>
                </c:pt>
                <c:pt idx="38" c:formatCode="dd/mm/yy;@">
                  <c:v>45730</c:v>
                </c:pt>
                <c:pt idx="39" c:formatCode="dd/mm/yy;@">
                  <c:v>45736</c:v>
                </c:pt>
                <c:pt idx="40" c:formatCode="dd/mm/yy;@">
                  <c:v>45743</c:v>
                </c:pt>
                <c:pt idx="41" c:formatCode="dd/mm/yy;@">
                  <c:v>45750</c:v>
                </c:pt>
                <c:pt idx="42" c:formatCode="dd/mm/yy;@">
                  <c:v>45757</c:v>
                </c:pt>
                <c:pt idx="43" c:formatCode="dd/mm/yy;@">
                  <c:v>45764</c:v>
                </c:pt>
                <c:pt idx="44" c:formatCode="dd/mm/yy;@">
                  <c:v>45771</c:v>
                </c:pt>
                <c:pt idx="45" c:formatCode="dd/mm/yy;@">
                  <c:v>45779</c:v>
                </c:pt>
                <c:pt idx="46" c:formatCode="dd/mm/yy;@">
                  <c:v>45792</c:v>
                </c:pt>
                <c:pt idx="47" c:formatCode="dd/mm/yy;@">
                  <c:v>45799</c:v>
                </c:pt>
                <c:pt idx="48" c:formatCode="dd/mm/yy;@">
                  <c:v>45806</c:v>
                </c:pt>
                <c:pt idx="49" c:formatCode="dd/mm/yy;@">
                  <c:v>45820</c:v>
                </c:pt>
                <c:pt idx="50" c:formatCode="dd/mm/yy;@">
                  <c:v>45827</c:v>
                </c:pt>
                <c:pt idx="51" c:formatCode="dd/mm/yy;@">
                  <c:v>45842</c:v>
                </c:pt>
                <c:pt idx="52" c:formatCode="dd/mm/yy;@">
                  <c:v>45848</c:v>
                </c:pt>
                <c:pt idx="53" c:formatCode="dd/mm/yy;@">
                  <c:v>45856</c:v>
                </c:pt>
                <c:pt idx="54" c:formatCode="dd/mm/yy;@">
                  <c:v>45863</c:v>
                </c:pt>
                <c:pt idx="55" c:formatCode="dd/mm/yy;@">
                  <c:v>45880</c:v>
                </c:pt>
                <c:pt idx="56" c:formatCode="dd/mm/yy;@">
                  <c:v>45891</c:v>
                </c:pt>
                <c:pt idx="57" c:formatCode="dd/mm/yy;@">
                  <c:v>45919</c:v>
                </c:pt>
                <c:pt idx="58" c:formatCode="dd/mm/yy;@">
                  <c:v>45925</c:v>
                </c:pt>
                <c:pt idx="59" c:formatCode="dd/mm/yy;@">
                  <c:v>45933</c:v>
                </c:pt>
                <c:pt idx="60" c:formatCode="dd/mm/yy;@">
                  <c:v>45940</c:v>
                </c:pt>
                <c:pt idx="61" c:formatCode="dd/mm/yy;@">
                  <c:v>45947</c:v>
                </c:pt>
                <c:pt idx="62" c:formatCode="dd/mm/yy;@">
                  <c:v>45952</c:v>
                </c:pt>
                <c:pt idx="63" c:formatCode="dd/mm/yy;@">
                  <c:v>45961</c:v>
                </c:pt>
                <c:pt idx="64" c:formatCode="dd/mm/yy;@">
                  <c:v>45968</c:v>
                </c:pt>
                <c:pt idx="65" c:formatCode="dd/mm/yy;@">
                  <c:v>45975</c:v>
                </c:pt>
                <c:pt idx="66" c:formatCode="dd/mm/yy;@">
                  <c:v>45982</c:v>
                </c:pt>
                <c:pt idx="67" c:formatCode="dd/mm/yy;@">
                  <c:v>45989</c:v>
                </c:pt>
                <c:pt idx="68" c:formatCode="dd/mm/yy;@">
                  <c:v>45996</c:v>
                </c:pt>
                <c:pt idx="69" c:formatCode="dd/mm/yy;@">
                  <c:v>46003</c:v>
                </c:pt>
                <c:pt idx="70" c:formatCode="dd/mm/yy;@">
                  <c:v>46010</c:v>
                </c:pt>
                <c:pt idx="71" c:formatCode="dd/mm/yy;@">
                  <c:v>46017</c:v>
                </c:pt>
                <c:pt idx="72" c:formatCode="dd/mm/yy;@">
                  <c:v>46030</c:v>
                </c:pt>
                <c:pt idx="73" c:formatCode="dd/mm/yy;@">
                  <c:v>46042</c:v>
                </c:pt>
                <c:pt idx="74" c:formatCode="dd/mm/yy;@">
                  <c:v>46051</c:v>
                </c:pt>
                <c:pt idx="75" c:formatCode="dd/mm/yy;@">
                  <c:v>46066</c:v>
                </c:pt>
                <c:pt idx="76" c:formatCode="dd/mm/yy;@">
                  <c:v>46080</c:v>
                </c:pt>
                <c:pt idx="77" c:formatCode="dd/mm/yy;@">
                  <c:v>46087</c:v>
                </c:pt>
                <c:pt idx="78" c:formatCode="dd/mm/yy;@">
                  <c:v>46094</c:v>
                </c:pt>
                <c:pt idx="79" c:formatCode="dd/mm/yy;@">
                  <c:v>46114</c:v>
                </c:pt>
                <c:pt idx="80" c:formatCode="dd/mm/yy;@">
                  <c:v>46125</c:v>
                </c:pt>
                <c:pt idx="81" c:formatCode="dd/mm/yy;@">
                  <c:v>46136</c:v>
                </c:pt>
                <c:pt idx="82" c:formatCode="dd/mm/yy;@">
                  <c:v>46150</c:v>
                </c:pt>
                <c:pt idx="83" c:formatCode="dd/mm/yy;@">
                  <c:v>46157</c:v>
                </c:pt>
                <c:pt idx="84" c:formatCode="dd/mm/yy;@">
                  <c:v>46177</c:v>
                </c:pt>
                <c:pt idx="85" c:formatCode="dd/mm/yy;@">
                  <c:v>46185</c:v>
                </c:pt>
                <c:pt idx="86" c:formatCode="dd/mm/yy;@">
                  <c:v>46192</c:v>
                </c:pt>
                <c:pt idx="87" c:formatCode="dd/mm/yy;@">
                  <c:v>46199</c:v>
                </c:pt>
                <c:pt idx="88" c:formatCode="dd/mm/yy;@">
                  <c:v>46206</c:v>
                </c:pt>
                <c:pt idx="89" c:formatCode="dd/mm/yy;@">
                  <c:v>46213</c:v>
                </c:pt>
                <c:pt idx="90" c:formatCode="dd/mm/yy;@">
                  <c:v>46220</c:v>
                </c:pt>
              </c:numCache>
            </c:numRef>
          </c:cat>
          <c:val>
            <c:numRef>
              <c:f>OMAR!$F$75:$F$75</c:f>
              <c:numCache>
                <c:formatCode>#,##0.00</c:formatCode>
                <c:ptCount val="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69636456"/>
        <c:axId val="669638256"/>
      </c:lineChart>
      <c:dateAx>
        <c:axId val="669636456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9638256"/>
        <c:crosses val="autoZero"/>
        <c:auto val="1"/>
        <c:lblOffset val="100"/>
        <c:baseTimeUnit val="days"/>
      </c:dateAx>
      <c:valAx>
        <c:axId val="6696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963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569764-634d-42f1-b215-5692c8896a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IMPAYES DIRECTION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2803368328959"/>
          <c:y val="0.194861111111111"/>
          <c:w val="0.814974409448819"/>
          <c:h val="0.61290135608049"/>
        </c:manualLayout>
      </c:layou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numRef>
              <c:f>DIRECTION!$C$23:$C$98</c:f>
              <c:numCache>
                <c:formatCode>dd/mm/yy;@</c:formatCode>
                <c:ptCount val="76"/>
                <c:pt idx="0" c:formatCode="dd/mm/yy;@">
                  <c:v>44994</c:v>
                </c:pt>
                <c:pt idx="1" c:formatCode="dd/mm/yy;@">
                  <c:v>45001</c:v>
                </c:pt>
                <c:pt idx="2" c:formatCode="dd/mm/yy;@">
                  <c:v>45008</c:v>
                </c:pt>
                <c:pt idx="3" c:formatCode="dd/mm/yy;@">
                  <c:v>45015</c:v>
                </c:pt>
                <c:pt idx="4" c:formatCode="dd/mm/yy;@">
                  <c:v>45022</c:v>
                </c:pt>
                <c:pt idx="5" c:formatCode="dd/mm/yy;@">
                  <c:v>45029</c:v>
                </c:pt>
                <c:pt idx="6" c:formatCode="dd/mm/yy;@">
                  <c:v>45036</c:v>
                </c:pt>
                <c:pt idx="7" c:formatCode="dd/mm/yy;@">
                  <c:v>45043</c:v>
                </c:pt>
                <c:pt idx="8" c:formatCode="dd/mm/yy;@">
                  <c:v>45051</c:v>
                </c:pt>
                <c:pt idx="9" c:formatCode="dd/mm/yy;@">
                  <c:v>45057</c:v>
                </c:pt>
                <c:pt idx="10" c:formatCode="dd/mm/yy;@">
                  <c:v>45064</c:v>
                </c:pt>
                <c:pt idx="11" c:formatCode="dd/mm/yy;@">
                  <c:v>45071</c:v>
                </c:pt>
                <c:pt idx="12" c:formatCode="dd/mm/yy;@">
                  <c:v>45078</c:v>
                </c:pt>
                <c:pt idx="13" c:formatCode="dd/mm/yy;@">
                  <c:v>45085</c:v>
                </c:pt>
                <c:pt idx="14" c:formatCode="dd/mm/yy;@">
                  <c:v>45092</c:v>
                </c:pt>
                <c:pt idx="15" c:formatCode="dd/mm/yy;@">
                  <c:v>45099</c:v>
                </c:pt>
                <c:pt idx="16" c:formatCode="dd/mm/yy;@">
                  <c:v>45120</c:v>
                </c:pt>
                <c:pt idx="17" c:formatCode="dd/mm/yy;@">
                  <c:v>45134</c:v>
                </c:pt>
                <c:pt idx="18" c:formatCode="dd/mm/yy;@">
                  <c:v>45141</c:v>
                </c:pt>
                <c:pt idx="19" c:formatCode="dd/mm/yy;@">
                  <c:v>45148</c:v>
                </c:pt>
                <c:pt idx="20" c:formatCode="dd/mm/yy;@">
                  <c:v>45155</c:v>
                </c:pt>
                <c:pt idx="21" c:formatCode="dd/mm/yy;@">
                  <c:v>45183</c:v>
                </c:pt>
                <c:pt idx="22" c:formatCode="dd/mm/yy;@">
                  <c:v>45190</c:v>
                </c:pt>
                <c:pt idx="23" c:formatCode="dd/mm/yy;@">
                  <c:v>45204</c:v>
                </c:pt>
                <c:pt idx="24" c:formatCode="dd/mm/yy;@">
                  <c:v>45211</c:v>
                </c:pt>
                <c:pt idx="25" c:formatCode="dd/mm/yy;@">
                  <c:v>45218</c:v>
                </c:pt>
                <c:pt idx="26" c:formatCode="dd/mm/yy;@">
                  <c:v>45225</c:v>
                </c:pt>
                <c:pt idx="27" c:formatCode="dd/mm/yy;@">
                  <c:v>45232</c:v>
                </c:pt>
                <c:pt idx="28" c:formatCode="dd/mm/yy;@">
                  <c:v>45239</c:v>
                </c:pt>
                <c:pt idx="29" c:formatCode="dd/mm/yy;@">
                  <c:v>45246</c:v>
                </c:pt>
                <c:pt idx="30" c:formatCode="dd/mm/yy;@">
                  <c:v>45253</c:v>
                </c:pt>
                <c:pt idx="31" c:formatCode="dd/mm/yy;@">
                  <c:v>45260</c:v>
                </c:pt>
                <c:pt idx="32" c:formatCode="dd/mm/yy;@">
                  <c:v>45267</c:v>
                </c:pt>
                <c:pt idx="33" c:formatCode="dd/mm/yy;@">
                  <c:v>45274</c:v>
                </c:pt>
                <c:pt idx="34" c:formatCode="dd/mm/yy;@">
                  <c:v>45281</c:v>
                </c:pt>
                <c:pt idx="35" c:formatCode="dd/mm/yy;@">
                  <c:v>45294</c:v>
                </c:pt>
                <c:pt idx="36" c:formatCode="dd/mm/yy;@">
                  <c:v>45303</c:v>
                </c:pt>
                <c:pt idx="37" c:formatCode="dd/mm/yy;@">
                  <c:v>45309</c:v>
                </c:pt>
                <c:pt idx="38" c:formatCode="dd/mm/yy;@">
                  <c:v>45323</c:v>
                </c:pt>
                <c:pt idx="39" c:formatCode="dd/mm/yy;@">
                  <c:v>45330</c:v>
                </c:pt>
                <c:pt idx="40" c:formatCode="dd/mm/yy;@">
                  <c:v>45337</c:v>
                </c:pt>
                <c:pt idx="41" c:formatCode="dd/mm/yy;@">
                  <c:v>45344</c:v>
                </c:pt>
                <c:pt idx="42" c:formatCode="dd/mm/yy;@">
                  <c:v>45351</c:v>
                </c:pt>
                <c:pt idx="43" c:formatCode="dd/mm/yy;@">
                  <c:v>45358</c:v>
                </c:pt>
                <c:pt idx="44" c:formatCode="dd/mm/yy;@">
                  <c:v>45365</c:v>
                </c:pt>
                <c:pt idx="45" c:formatCode="dd/mm/yy;@">
                  <c:v>45372</c:v>
                </c:pt>
                <c:pt idx="46" c:formatCode="dd/mm/yy;@">
                  <c:v>45379</c:v>
                </c:pt>
                <c:pt idx="47" c:formatCode="dd/mm/yy;@">
                  <c:v>45386</c:v>
                </c:pt>
                <c:pt idx="48" c:formatCode="dd/mm/yy;@">
                  <c:v>45400</c:v>
                </c:pt>
                <c:pt idx="49" c:formatCode="dd/mm/yy;@">
                  <c:v>45407</c:v>
                </c:pt>
                <c:pt idx="50" c:formatCode="dd/mm/yy;@">
                  <c:v>45414</c:v>
                </c:pt>
                <c:pt idx="51" c:formatCode="dd/mm/yy;@">
                  <c:v>45421</c:v>
                </c:pt>
                <c:pt idx="52" c:formatCode="dd/mm/yy;@">
                  <c:v>45428</c:v>
                </c:pt>
                <c:pt idx="53" c:formatCode="dd/mm/yy;@">
                  <c:v>45435</c:v>
                </c:pt>
                <c:pt idx="54" c:formatCode="dd/mm/yy;@">
                  <c:v>45442</c:v>
                </c:pt>
                <c:pt idx="55" c:formatCode="dd/mm/yy;@">
                  <c:v>45449</c:v>
                </c:pt>
                <c:pt idx="56" c:formatCode="dd/mm/yy;@">
                  <c:v>45456</c:v>
                </c:pt>
                <c:pt idx="57" c:formatCode="dd/mm/yy;@">
                  <c:v>45463</c:v>
                </c:pt>
                <c:pt idx="58" c:formatCode="dd/mm/yy;@">
                  <c:v>45470</c:v>
                </c:pt>
                <c:pt idx="59" c:formatCode="dd/mm/yy;@">
                  <c:v>45477</c:v>
                </c:pt>
                <c:pt idx="60" c:formatCode="dd/mm/yy;@">
                  <c:v>45484</c:v>
                </c:pt>
                <c:pt idx="61" c:formatCode="dd/mm/yy;@">
                  <c:v>45491</c:v>
                </c:pt>
                <c:pt idx="62" c:formatCode="dd/mm/yy;@">
                  <c:v>45498</c:v>
                </c:pt>
                <c:pt idx="63" c:formatCode="dd/mm/yy;@">
                  <c:v>45505</c:v>
                </c:pt>
                <c:pt idx="64" c:formatCode="dd/mm/yy;@">
                  <c:v>45512</c:v>
                </c:pt>
                <c:pt idx="65" c:formatCode="dd/mm/yy;@">
                  <c:v>45519</c:v>
                </c:pt>
                <c:pt idx="66" c:formatCode="dd/mm/yy;@">
                  <c:v>45547</c:v>
                </c:pt>
                <c:pt idx="67" c:formatCode="dd/mm/yy;@">
                  <c:v>45554</c:v>
                </c:pt>
                <c:pt idx="68" c:formatCode="dd/mm/yy;@">
                  <c:v>45561</c:v>
                </c:pt>
                <c:pt idx="69" c:formatCode="dd/mm/yy;@">
                  <c:v>45568</c:v>
                </c:pt>
                <c:pt idx="70" c:formatCode="dd/mm/yy;@">
                  <c:v>45575</c:v>
                </c:pt>
                <c:pt idx="71" c:formatCode="dd/mm/yy;@">
                  <c:v>45582</c:v>
                </c:pt>
                <c:pt idx="72" c:formatCode="dd/mm/yy;@">
                  <c:v>45589</c:v>
                </c:pt>
                <c:pt idx="73" c:formatCode="dd/mm/yy;@">
                  <c:v>45596</c:v>
                </c:pt>
                <c:pt idx="74" c:formatCode="dd/mm/yy;@">
                  <c:v>45603</c:v>
                </c:pt>
                <c:pt idx="75" c:formatCode="dd/mm/yy;@">
                  <c:v>45610</c:v>
                </c:pt>
              </c:numCache>
            </c:numRef>
          </c:cat>
          <c:val>
            <c:numRef>
              <c:f>DIRECTION!$E$22:$E$98</c:f>
              <c:numCache>
                <c:formatCode>#,##0.00</c:formatCode>
                <c:ptCount val="77"/>
                <c:pt idx="0">
                  <c:v>444276</c:v>
                </c:pt>
                <c:pt idx="1">
                  <c:v>444276</c:v>
                </c:pt>
                <c:pt idx="2">
                  <c:v>444276</c:v>
                </c:pt>
                <c:pt idx="3">
                  <c:v>444276</c:v>
                </c:pt>
                <c:pt idx="4">
                  <c:v>444276</c:v>
                </c:pt>
                <c:pt idx="5">
                  <c:v>444276</c:v>
                </c:pt>
                <c:pt idx="6">
                  <c:v>444276</c:v>
                </c:pt>
                <c:pt idx="7">
                  <c:v>59708</c:v>
                </c:pt>
                <c:pt idx="8">
                  <c:v>59708</c:v>
                </c:pt>
                <c:pt idx="9">
                  <c:v>59708</c:v>
                </c:pt>
                <c:pt idx="10">
                  <c:v>59708</c:v>
                </c:pt>
                <c:pt idx="11">
                  <c:v>59708</c:v>
                </c:pt>
                <c:pt idx="12">
                  <c:v>59708</c:v>
                </c:pt>
                <c:pt idx="13">
                  <c:v>291548</c:v>
                </c:pt>
                <c:pt idx="14">
                  <c:v>59708</c:v>
                </c:pt>
                <c:pt idx="15">
                  <c:v>59708</c:v>
                </c:pt>
                <c:pt idx="16">
                  <c:v>59708</c:v>
                </c:pt>
                <c:pt idx="17">
                  <c:v>59708</c:v>
                </c:pt>
                <c:pt idx="18">
                  <c:v>59708</c:v>
                </c:pt>
                <c:pt idx="19">
                  <c:v>59708</c:v>
                </c:pt>
                <c:pt idx="20">
                  <c:v>59708</c:v>
                </c:pt>
                <c:pt idx="21">
                  <c:v>59708</c:v>
                </c:pt>
                <c:pt idx="22">
                  <c:v>59708</c:v>
                </c:pt>
                <c:pt idx="23">
                  <c:v>59708</c:v>
                </c:pt>
                <c:pt idx="24">
                  <c:v>59708</c:v>
                </c:pt>
                <c:pt idx="25">
                  <c:v>59708</c:v>
                </c:pt>
                <c:pt idx="26">
                  <c:v>59708</c:v>
                </c:pt>
                <c:pt idx="27">
                  <c:v>59708</c:v>
                </c:pt>
                <c:pt idx="28">
                  <c:v>59708</c:v>
                </c:pt>
                <c:pt idx="29">
                  <c:v>59708</c:v>
                </c:pt>
                <c:pt idx="30">
                  <c:v>59708</c:v>
                </c:pt>
                <c:pt idx="31">
                  <c:v>59708</c:v>
                </c:pt>
                <c:pt idx="32">
                  <c:v>59708</c:v>
                </c:pt>
                <c:pt idx="33">
                  <c:v>59708</c:v>
                </c:pt>
                <c:pt idx="34">
                  <c:v>59708</c:v>
                </c:pt>
                <c:pt idx="35">
                  <c:v>59708</c:v>
                </c:pt>
                <c:pt idx="36">
                  <c:v>59708</c:v>
                </c:pt>
                <c:pt idx="37">
                  <c:v>59708</c:v>
                </c:pt>
                <c:pt idx="38">
                  <c:v>59708</c:v>
                </c:pt>
                <c:pt idx="39">
                  <c:v>59708</c:v>
                </c:pt>
                <c:pt idx="40">
                  <c:v>59708</c:v>
                </c:pt>
                <c:pt idx="41">
                  <c:v>59780</c:v>
                </c:pt>
                <c:pt idx="42">
                  <c:v>59780</c:v>
                </c:pt>
                <c:pt idx="43">
                  <c:v>59780</c:v>
                </c:pt>
                <c:pt idx="44">
                  <c:v>59780</c:v>
                </c:pt>
                <c:pt idx="45">
                  <c:v>59780</c:v>
                </c:pt>
                <c:pt idx="46">
                  <c:v>59780</c:v>
                </c:pt>
                <c:pt idx="47">
                  <c:v>59780</c:v>
                </c:pt>
                <c:pt idx="48">
                  <c:v>59780</c:v>
                </c:pt>
                <c:pt idx="49">
                  <c:v>59780</c:v>
                </c:pt>
                <c:pt idx="50">
                  <c:v>59780</c:v>
                </c:pt>
                <c:pt idx="51">
                  <c:v>59780</c:v>
                </c:pt>
                <c:pt idx="52">
                  <c:v>59780</c:v>
                </c:pt>
                <c:pt idx="53">
                  <c:v>59780</c:v>
                </c:pt>
                <c:pt idx="54">
                  <c:v>59780</c:v>
                </c:pt>
                <c:pt idx="55">
                  <c:v>59780</c:v>
                </c:pt>
                <c:pt idx="56">
                  <c:v>59780</c:v>
                </c:pt>
                <c:pt idx="57">
                  <c:v>59708</c:v>
                </c:pt>
                <c:pt idx="58">
                  <c:v>59708</c:v>
                </c:pt>
                <c:pt idx="59">
                  <c:v>59708</c:v>
                </c:pt>
                <c:pt idx="60">
                  <c:v>59708</c:v>
                </c:pt>
                <c:pt idx="61">
                  <c:v>59708</c:v>
                </c:pt>
                <c:pt idx="62">
                  <c:v>59708</c:v>
                </c:pt>
                <c:pt idx="63">
                  <c:v>59708</c:v>
                </c:pt>
                <c:pt idx="64">
                  <c:v>59708</c:v>
                </c:pt>
                <c:pt idx="65">
                  <c:v>59708</c:v>
                </c:pt>
                <c:pt idx="66">
                  <c:v>59708</c:v>
                </c:pt>
                <c:pt idx="67">
                  <c:v>59708</c:v>
                </c:pt>
                <c:pt idx="68">
                  <c:v>59708</c:v>
                </c:pt>
                <c:pt idx="69">
                  <c:v>59708</c:v>
                </c:pt>
                <c:pt idx="70">
                  <c:v>59708</c:v>
                </c:pt>
                <c:pt idx="71">
                  <c:v>59708</c:v>
                </c:pt>
                <c:pt idx="72">
                  <c:v>59708</c:v>
                </c:pt>
                <c:pt idx="73">
                  <c:v>59708</c:v>
                </c:pt>
                <c:pt idx="74">
                  <c:v>59708</c:v>
                </c:pt>
                <c:pt idx="75">
                  <c:v>59708</c:v>
                </c:pt>
                <c:pt idx="76">
                  <c:v>59708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995896"/>
        <c:axId val="673998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DIRECTION!$C$23:$C$98</c15:sqref>
                        </c15:formulaRef>
                      </c:ext>
                    </c:extLst>
                    <c:numCache>
                      <c:formatCode>dd/mm/yy;@</c:formatCode>
                      <c:ptCount val="76"/>
                      <c:pt idx="0" c:formatCode="dd/mm/yy;@">
                        <c:v>44994</c:v>
                      </c:pt>
                      <c:pt idx="1" c:formatCode="dd/mm/yy;@">
                        <c:v>45001</c:v>
                      </c:pt>
                      <c:pt idx="2" c:formatCode="dd/mm/yy;@">
                        <c:v>45008</c:v>
                      </c:pt>
                      <c:pt idx="3" c:formatCode="dd/mm/yy;@">
                        <c:v>45015</c:v>
                      </c:pt>
                      <c:pt idx="4" c:formatCode="dd/mm/yy;@">
                        <c:v>45022</c:v>
                      </c:pt>
                      <c:pt idx="5" c:formatCode="dd/mm/yy;@">
                        <c:v>45029</c:v>
                      </c:pt>
                      <c:pt idx="6" c:formatCode="dd/mm/yy;@">
                        <c:v>45036</c:v>
                      </c:pt>
                      <c:pt idx="7" c:formatCode="dd/mm/yy;@">
                        <c:v>45043</c:v>
                      </c:pt>
                      <c:pt idx="8" c:formatCode="dd/mm/yy;@">
                        <c:v>45051</c:v>
                      </c:pt>
                      <c:pt idx="9" c:formatCode="dd/mm/yy;@">
                        <c:v>45057</c:v>
                      </c:pt>
                      <c:pt idx="10" c:formatCode="dd/mm/yy;@">
                        <c:v>45064</c:v>
                      </c:pt>
                      <c:pt idx="11" c:formatCode="dd/mm/yy;@">
                        <c:v>45071</c:v>
                      </c:pt>
                      <c:pt idx="12" c:formatCode="dd/mm/yy;@">
                        <c:v>45078</c:v>
                      </c:pt>
                      <c:pt idx="13" c:formatCode="dd/mm/yy;@">
                        <c:v>45085</c:v>
                      </c:pt>
                      <c:pt idx="14" c:formatCode="dd/mm/yy;@">
                        <c:v>45092</c:v>
                      </c:pt>
                      <c:pt idx="15" c:formatCode="dd/mm/yy;@">
                        <c:v>45099</c:v>
                      </c:pt>
                      <c:pt idx="16" c:formatCode="dd/mm/yy;@">
                        <c:v>45120</c:v>
                      </c:pt>
                      <c:pt idx="17" c:formatCode="dd/mm/yy;@">
                        <c:v>45134</c:v>
                      </c:pt>
                      <c:pt idx="18" c:formatCode="dd/mm/yy;@">
                        <c:v>45141</c:v>
                      </c:pt>
                      <c:pt idx="19" c:formatCode="dd/mm/yy;@">
                        <c:v>45148</c:v>
                      </c:pt>
                      <c:pt idx="20" c:formatCode="dd/mm/yy;@">
                        <c:v>45155</c:v>
                      </c:pt>
                      <c:pt idx="21" c:formatCode="dd/mm/yy;@">
                        <c:v>45183</c:v>
                      </c:pt>
                      <c:pt idx="22" c:formatCode="dd/mm/yy;@">
                        <c:v>45190</c:v>
                      </c:pt>
                      <c:pt idx="23" c:formatCode="dd/mm/yy;@">
                        <c:v>45204</c:v>
                      </c:pt>
                      <c:pt idx="24" c:formatCode="dd/mm/yy;@">
                        <c:v>45211</c:v>
                      </c:pt>
                      <c:pt idx="25" c:formatCode="dd/mm/yy;@">
                        <c:v>45218</c:v>
                      </c:pt>
                      <c:pt idx="26" c:formatCode="dd/mm/yy;@">
                        <c:v>45225</c:v>
                      </c:pt>
                      <c:pt idx="27" c:formatCode="dd/mm/yy;@">
                        <c:v>45232</c:v>
                      </c:pt>
                      <c:pt idx="28" c:formatCode="dd/mm/yy;@">
                        <c:v>45239</c:v>
                      </c:pt>
                      <c:pt idx="29" c:formatCode="dd/mm/yy;@">
                        <c:v>45246</c:v>
                      </c:pt>
                      <c:pt idx="30" c:formatCode="dd/mm/yy;@">
                        <c:v>45253</c:v>
                      </c:pt>
                      <c:pt idx="31" c:formatCode="dd/mm/yy;@">
                        <c:v>45260</c:v>
                      </c:pt>
                      <c:pt idx="32" c:formatCode="dd/mm/yy;@">
                        <c:v>45267</c:v>
                      </c:pt>
                      <c:pt idx="33" c:formatCode="dd/mm/yy;@">
                        <c:v>45274</c:v>
                      </c:pt>
                      <c:pt idx="34" c:formatCode="dd/mm/yy;@">
                        <c:v>45281</c:v>
                      </c:pt>
                      <c:pt idx="35" c:formatCode="dd/mm/yy;@">
                        <c:v>45294</c:v>
                      </c:pt>
                      <c:pt idx="36" c:formatCode="dd/mm/yy;@">
                        <c:v>45303</c:v>
                      </c:pt>
                      <c:pt idx="37" c:formatCode="dd/mm/yy;@">
                        <c:v>45309</c:v>
                      </c:pt>
                      <c:pt idx="38" c:formatCode="dd/mm/yy;@">
                        <c:v>45323</c:v>
                      </c:pt>
                      <c:pt idx="39" c:formatCode="dd/mm/yy;@">
                        <c:v>45330</c:v>
                      </c:pt>
                      <c:pt idx="40" c:formatCode="dd/mm/yy;@">
                        <c:v>45337</c:v>
                      </c:pt>
                      <c:pt idx="41" c:formatCode="dd/mm/yy;@">
                        <c:v>45344</c:v>
                      </c:pt>
                      <c:pt idx="42" c:formatCode="dd/mm/yy;@">
                        <c:v>45351</c:v>
                      </c:pt>
                      <c:pt idx="43" c:formatCode="dd/mm/yy;@">
                        <c:v>45358</c:v>
                      </c:pt>
                      <c:pt idx="44" c:formatCode="dd/mm/yy;@">
                        <c:v>45365</c:v>
                      </c:pt>
                      <c:pt idx="45" c:formatCode="dd/mm/yy;@">
                        <c:v>45372</c:v>
                      </c:pt>
                      <c:pt idx="46" c:formatCode="dd/mm/yy;@">
                        <c:v>45379</c:v>
                      </c:pt>
                      <c:pt idx="47" c:formatCode="dd/mm/yy;@">
                        <c:v>45386</c:v>
                      </c:pt>
                      <c:pt idx="48" c:formatCode="dd/mm/yy;@">
                        <c:v>45400</c:v>
                      </c:pt>
                      <c:pt idx="49" c:formatCode="dd/mm/yy;@">
                        <c:v>45407</c:v>
                      </c:pt>
                      <c:pt idx="50" c:formatCode="dd/mm/yy;@">
                        <c:v>45414</c:v>
                      </c:pt>
                      <c:pt idx="51" c:formatCode="dd/mm/yy;@">
                        <c:v>45421</c:v>
                      </c:pt>
                      <c:pt idx="52" c:formatCode="dd/mm/yy;@">
                        <c:v>45428</c:v>
                      </c:pt>
                      <c:pt idx="53" c:formatCode="dd/mm/yy;@">
                        <c:v>45435</c:v>
                      </c:pt>
                      <c:pt idx="54" c:formatCode="dd/mm/yy;@">
                        <c:v>45442</c:v>
                      </c:pt>
                      <c:pt idx="55" c:formatCode="dd/mm/yy;@">
                        <c:v>45449</c:v>
                      </c:pt>
                      <c:pt idx="56" c:formatCode="dd/mm/yy;@">
                        <c:v>45456</c:v>
                      </c:pt>
                      <c:pt idx="57" c:formatCode="dd/mm/yy;@">
                        <c:v>45463</c:v>
                      </c:pt>
                      <c:pt idx="58" c:formatCode="dd/mm/yy;@">
                        <c:v>45470</c:v>
                      </c:pt>
                      <c:pt idx="59" c:formatCode="dd/mm/yy;@">
                        <c:v>45477</c:v>
                      </c:pt>
                      <c:pt idx="60" c:formatCode="dd/mm/yy;@">
                        <c:v>45484</c:v>
                      </c:pt>
                      <c:pt idx="61" c:formatCode="dd/mm/yy;@">
                        <c:v>45491</c:v>
                      </c:pt>
                      <c:pt idx="62" c:formatCode="dd/mm/yy;@">
                        <c:v>45498</c:v>
                      </c:pt>
                      <c:pt idx="63" c:formatCode="dd/mm/yy;@">
                        <c:v>45505</c:v>
                      </c:pt>
                      <c:pt idx="64" c:formatCode="dd/mm/yy;@">
                        <c:v>45512</c:v>
                      </c:pt>
                      <c:pt idx="65" c:formatCode="dd/mm/yy;@">
                        <c:v>45519</c:v>
                      </c:pt>
                      <c:pt idx="66" c:formatCode="dd/mm/yy;@">
                        <c:v>45547</c:v>
                      </c:pt>
                      <c:pt idx="67" c:formatCode="dd/mm/yy;@">
                        <c:v>45554</c:v>
                      </c:pt>
                      <c:pt idx="68" c:formatCode="dd/mm/yy;@">
                        <c:v>45561</c:v>
                      </c:pt>
                      <c:pt idx="69" c:formatCode="dd/mm/yy;@">
                        <c:v>45568</c:v>
                      </c:pt>
                      <c:pt idx="70" c:formatCode="dd/mm/yy;@">
                        <c:v>45575</c:v>
                      </c:pt>
                      <c:pt idx="71" c:formatCode="dd/mm/yy;@">
                        <c:v>45582</c:v>
                      </c:pt>
                      <c:pt idx="72" c:formatCode="dd/mm/yy;@">
                        <c:v>45589</c:v>
                      </c:pt>
                      <c:pt idx="73" c:formatCode="dd/mm/yy;@">
                        <c:v>45596</c:v>
                      </c:pt>
                      <c:pt idx="74" c:formatCode="dd/mm/yy;@">
                        <c:v>45603</c:v>
                      </c:pt>
                      <c:pt idx="75" c:formatCode="dd/mm/yy;@">
                        <c:v>45610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DIRECTION!#REF!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DIRECTION!$C$23:$C$98</c15:sqref>
                        </c15:formulaRef>
                      </c:ext>
                    </c:extLst>
                    <c:numCache>
                      <c:formatCode>dd/mm/yy;@</c:formatCode>
                      <c:ptCount val="76"/>
                      <c:pt idx="0" c:formatCode="dd/mm/yy;@">
                        <c:v>44994</c:v>
                      </c:pt>
                      <c:pt idx="1" c:formatCode="dd/mm/yy;@">
                        <c:v>45001</c:v>
                      </c:pt>
                      <c:pt idx="2" c:formatCode="dd/mm/yy;@">
                        <c:v>45008</c:v>
                      </c:pt>
                      <c:pt idx="3" c:formatCode="dd/mm/yy;@">
                        <c:v>45015</c:v>
                      </c:pt>
                      <c:pt idx="4" c:formatCode="dd/mm/yy;@">
                        <c:v>45022</c:v>
                      </c:pt>
                      <c:pt idx="5" c:formatCode="dd/mm/yy;@">
                        <c:v>45029</c:v>
                      </c:pt>
                      <c:pt idx="6" c:formatCode="dd/mm/yy;@">
                        <c:v>45036</c:v>
                      </c:pt>
                      <c:pt idx="7" c:formatCode="dd/mm/yy;@">
                        <c:v>45043</c:v>
                      </c:pt>
                      <c:pt idx="8" c:formatCode="dd/mm/yy;@">
                        <c:v>45051</c:v>
                      </c:pt>
                      <c:pt idx="9" c:formatCode="dd/mm/yy;@">
                        <c:v>45057</c:v>
                      </c:pt>
                      <c:pt idx="10" c:formatCode="dd/mm/yy;@">
                        <c:v>45064</c:v>
                      </c:pt>
                      <c:pt idx="11" c:formatCode="dd/mm/yy;@">
                        <c:v>45071</c:v>
                      </c:pt>
                      <c:pt idx="12" c:formatCode="dd/mm/yy;@">
                        <c:v>45078</c:v>
                      </c:pt>
                      <c:pt idx="13" c:formatCode="dd/mm/yy;@">
                        <c:v>45085</c:v>
                      </c:pt>
                      <c:pt idx="14" c:formatCode="dd/mm/yy;@">
                        <c:v>45092</c:v>
                      </c:pt>
                      <c:pt idx="15" c:formatCode="dd/mm/yy;@">
                        <c:v>45099</c:v>
                      </c:pt>
                      <c:pt idx="16" c:formatCode="dd/mm/yy;@">
                        <c:v>45120</c:v>
                      </c:pt>
                      <c:pt idx="17" c:formatCode="dd/mm/yy;@">
                        <c:v>45134</c:v>
                      </c:pt>
                      <c:pt idx="18" c:formatCode="dd/mm/yy;@">
                        <c:v>45141</c:v>
                      </c:pt>
                      <c:pt idx="19" c:formatCode="dd/mm/yy;@">
                        <c:v>45148</c:v>
                      </c:pt>
                      <c:pt idx="20" c:formatCode="dd/mm/yy;@">
                        <c:v>45155</c:v>
                      </c:pt>
                      <c:pt idx="21" c:formatCode="dd/mm/yy;@">
                        <c:v>45183</c:v>
                      </c:pt>
                      <c:pt idx="22" c:formatCode="dd/mm/yy;@">
                        <c:v>45190</c:v>
                      </c:pt>
                      <c:pt idx="23" c:formatCode="dd/mm/yy;@">
                        <c:v>45204</c:v>
                      </c:pt>
                      <c:pt idx="24" c:formatCode="dd/mm/yy;@">
                        <c:v>45211</c:v>
                      </c:pt>
                      <c:pt idx="25" c:formatCode="dd/mm/yy;@">
                        <c:v>45218</c:v>
                      </c:pt>
                      <c:pt idx="26" c:formatCode="dd/mm/yy;@">
                        <c:v>45225</c:v>
                      </c:pt>
                      <c:pt idx="27" c:formatCode="dd/mm/yy;@">
                        <c:v>45232</c:v>
                      </c:pt>
                      <c:pt idx="28" c:formatCode="dd/mm/yy;@">
                        <c:v>45239</c:v>
                      </c:pt>
                      <c:pt idx="29" c:formatCode="dd/mm/yy;@">
                        <c:v>45246</c:v>
                      </c:pt>
                      <c:pt idx="30" c:formatCode="dd/mm/yy;@">
                        <c:v>45253</c:v>
                      </c:pt>
                      <c:pt idx="31" c:formatCode="dd/mm/yy;@">
                        <c:v>45260</c:v>
                      </c:pt>
                      <c:pt idx="32" c:formatCode="dd/mm/yy;@">
                        <c:v>45267</c:v>
                      </c:pt>
                      <c:pt idx="33" c:formatCode="dd/mm/yy;@">
                        <c:v>45274</c:v>
                      </c:pt>
                      <c:pt idx="34" c:formatCode="dd/mm/yy;@">
                        <c:v>45281</c:v>
                      </c:pt>
                      <c:pt idx="35" c:formatCode="dd/mm/yy;@">
                        <c:v>45294</c:v>
                      </c:pt>
                      <c:pt idx="36" c:formatCode="dd/mm/yy;@">
                        <c:v>45303</c:v>
                      </c:pt>
                      <c:pt idx="37" c:formatCode="dd/mm/yy;@">
                        <c:v>45309</c:v>
                      </c:pt>
                      <c:pt idx="38" c:formatCode="dd/mm/yy;@">
                        <c:v>45323</c:v>
                      </c:pt>
                      <c:pt idx="39" c:formatCode="dd/mm/yy;@">
                        <c:v>45330</c:v>
                      </c:pt>
                      <c:pt idx="40" c:formatCode="dd/mm/yy;@">
                        <c:v>45337</c:v>
                      </c:pt>
                      <c:pt idx="41" c:formatCode="dd/mm/yy;@">
                        <c:v>45344</c:v>
                      </c:pt>
                      <c:pt idx="42" c:formatCode="dd/mm/yy;@">
                        <c:v>45351</c:v>
                      </c:pt>
                      <c:pt idx="43" c:formatCode="dd/mm/yy;@">
                        <c:v>45358</c:v>
                      </c:pt>
                      <c:pt idx="44" c:formatCode="dd/mm/yy;@">
                        <c:v>45365</c:v>
                      </c:pt>
                      <c:pt idx="45" c:formatCode="dd/mm/yy;@">
                        <c:v>45372</c:v>
                      </c:pt>
                      <c:pt idx="46" c:formatCode="dd/mm/yy;@">
                        <c:v>45379</c:v>
                      </c:pt>
                      <c:pt idx="47" c:formatCode="dd/mm/yy;@">
                        <c:v>45386</c:v>
                      </c:pt>
                      <c:pt idx="48" c:formatCode="dd/mm/yy;@">
                        <c:v>45400</c:v>
                      </c:pt>
                      <c:pt idx="49" c:formatCode="dd/mm/yy;@">
                        <c:v>45407</c:v>
                      </c:pt>
                      <c:pt idx="50" c:formatCode="dd/mm/yy;@">
                        <c:v>45414</c:v>
                      </c:pt>
                      <c:pt idx="51" c:formatCode="dd/mm/yy;@">
                        <c:v>45421</c:v>
                      </c:pt>
                      <c:pt idx="52" c:formatCode="dd/mm/yy;@">
                        <c:v>45428</c:v>
                      </c:pt>
                      <c:pt idx="53" c:formatCode="dd/mm/yy;@">
                        <c:v>45435</c:v>
                      </c:pt>
                      <c:pt idx="54" c:formatCode="dd/mm/yy;@">
                        <c:v>45442</c:v>
                      </c:pt>
                      <c:pt idx="55" c:formatCode="dd/mm/yy;@">
                        <c:v>45449</c:v>
                      </c:pt>
                      <c:pt idx="56" c:formatCode="dd/mm/yy;@">
                        <c:v>45456</c:v>
                      </c:pt>
                      <c:pt idx="57" c:formatCode="dd/mm/yy;@">
                        <c:v>45463</c:v>
                      </c:pt>
                      <c:pt idx="58" c:formatCode="dd/mm/yy;@">
                        <c:v>45470</c:v>
                      </c:pt>
                      <c:pt idx="59" c:formatCode="dd/mm/yy;@">
                        <c:v>45477</c:v>
                      </c:pt>
                      <c:pt idx="60" c:formatCode="dd/mm/yy;@">
                        <c:v>45484</c:v>
                      </c:pt>
                      <c:pt idx="61" c:formatCode="dd/mm/yy;@">
                        <c:v>45491</c:v>
                      </c:pt>
                      <c:pt idx="62" c:formatCode="dd/mm/yy;@">
                        <c:v>45498</c:v>
                      </c:pt>
                      <c:pt idx="63" c:formatCode="dd/mm/yy;@">
                        <c:v>45505</c:v>
                      </c:pt>
                      <c:pt idx="64" c:formatCode="dd/mm/yy;@">
                        <c:v>45512</c:v>
                      </c:pt>
                      <c:pt idx="65" c:formatCode="dd/mm/yy;@">
                        <c:v>45519</c:v>
                      </c:pt>
                      <c:pt idx="66" c:formatCode="dd/mm/yy;@">
                        <c:v>45547</c:v>
                      </c:pt>
                      <c:pt idx="67" c:formatCode="dd/mm/yy;@">
                        <c:v>45554</c:v>
                      </c:pt>
                      <c:pt idx="68" c:formatCode="dd/mm/yy;@">
                        <c:v>45561</c:v>
                      </c:pt>
                      <c:pt idx="69" c:formatCode="dd/mm/yy;@">
                        <c:v>45568</c:v>
                      </c:pt>
                      <c:pt idx="70" c:formatCode="dd/mm/yy;@">
                        <c:v>45575</c:v>
                      </c:pt>
                      <c:pt idx="71" c:formatCode="dd/mm/yy;@">
                        <c:v>45582</c:v>
                      </c:pt>
                      <c:pt idx="72" c:formatCode="dd/mm/yy;@">
                        <c:v>45589</c:v>
                      </c:pt>
                      <c:pt idx="73" c:formatCode="dd/mm/yy;@">
                        <c:v>45596</c:v>
                      </c:pt>
                      <c:pt idx="74" c:formatCode="dd/mm/yy;@">
                        <c:v>45603</c:v>
                      </c:pt>
                      <c:pt idx="75" c:formatCode="dd/mm/yy;@">
                        <c:v>45610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DIRECTION!#REF!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DIRECTION!$C$23:$C$98</c15:sqref>
                        </c15:formulaRef>
                      </c:ext>
                    </c:extLst>
                    <c:numCache>
                      <c:formatCode>dd/mm/yy;@</c:formatCode>
                      <c:ptCount val="76"/>
                      <c:pt idx="0" c:formatCode="dd/mm/yy;@">
                        <c:v>44994</c:v>
                      </c:pt>
                      <c:pt idx="1" c:formatCode="dd/mm/yy;@">
                        <c:v>45001</c:v>
                      </c:pt>
                      <c:pt idx="2" c:formatCode="dd/mm/yy;@">
                        <c:v>45008</c:v>
                      </c:pt>
                      <c:pt idx="3" c:formatCode="dd/mm/yy;@">
                        <c:v>45015</c:v>
                      </c:pt>
                      <c:pt idx="4" c:formatCode="dd/mm/yy;@">
                        <c:v>45022</c:v>
                      </c:pt>
                      <c:pt idx="5" c:formatCode="dd/mm/yy;@">
                        <c:v>45029</c:v>
                      </c:pt>
                      <c:pt idx="6" c:formatCode="dd/mm/yy;@">
                        <c:v>45036</c:v>
                      </c:pt>
                      <c:pt idx="7" c:formatCode="dd/mm/yy;@">
                        <c:v>45043</c:v>
                      </c:pt>
                      <c:pt idx="8" c:formatCode="dd/mm/yy;@">
                        <c:v>45051</c:v>
                      </c:pt>
                      <c:pt idx="9" c:formatCode="dd/mm/yy;@">
                        <c:v>45057</c:v>
                      </c:pt>
                      <c:pt idx="10" c:formatCode="dd/mm/yy;@">
                        <c:v>45064</c:v>
                      </c:pt>
                      <c:pt idx="11" c:formatCode="dd/mm/yy;@">
                        <c:v>45071</c:v>
                      </c:pt>
                      <c:pt idx="12" c:formatCode="dd/mm/yy;@">
                        <c:v>45078</c:v>
                      </c:pt>
                      <c:pt idx="13" c:formatCode="dd/mm/yy;@">
                        <c:v>45085</c:v>
                      </c:pt>
                      <c:pt idx="14" c:formatCode="dd/mm/yy;@">
                        <c:v>45092</c:v>
                      </c:pt>
                      <c:pt idx="15" c:formatCode="dd/mm/yy;@">
                        <c:v>45099</c:v>
                      </c:pt>
                      <c:pt idx="16" c:formatCode="dd/mm/yy;@">
                        <c:v>45120</c:v>
                      </c:pt>
                      <c:pt idx="17" c:formatCode="dd/mm/yy;@">
                        <c:v>45134</c:v>
                      </c:pt>
                      <c:pt idx="18" c:formatCode="dd/mm/yy;@">
                        <c:v>45141</c:v>
                      </c:pt>
                      <c:pt idx="19" c:formatCode="dd/mm/yy;@">
                        <c:v>45148</c:v>
                      </c:pt>
                      <c:pt idx="20" c:formatCode="dd/mm/yy;@">
                        <c:v>45155</c:v>
                      </c:pt>
                      <c:pt idx="21" c:formatCode="dd/mm/yy;@">
                        <c:v>45183</c:v>
                      </c:pt>
                      <c:pt idx="22" c:formatCode="dd/mm/yy;@">
                        <c:v>45190</c:v>
                      </c:pt>
                      <c:pt idx="23" c:formatCode="dd/mm/yy;@">
                        <c:v>45204</c:v>
                      </c:pt>
                      <c:pt idx="24" c:formatCode="dd/mm/yy;@">
                        <c:v>45211</c:v>
                      </c:pt>
                      <c:pt idx="25" c:formatCode="dd/mm/yy;@">
                        <c:v>45218</c:v>
                      </c:pt>
                      <c:pt idx="26" c:formatCode="dd/mm/yy;@">
                        <c:v>45225</c:v>
                      </c:pt>
                      <c:pt idx="27" c:formatCode="dd/mm/yy;@">
                        <c:v>45232</c:v>
                      </c:pt>
                      <c:pt idx="28" c:formatCode="dd/mm/yy;@">
                        <c:v>45239</c:v>
                      </c:pt>
                      <c:pt idx="29" c:formatCode="dd/mm/yy;@">
                        <c:v>45246</c:v>
                      </c:pt>
                      <c:pt idx="30" c:formatCode="dd/mm/yy;@">
                        <c:v>45253</c:v>
                      </c:pt>
                      <c:pt idx="31" c:formatCode="dd/mm/yy;@">
                        <c:v>45260</c:v>
                      </c:pt>
                      <c:pt idx="32" c:formatCode="dd/mm/yy;@">
                        <c:v>45267</c:v>
                      </c:pt>
                      <c:pt idx="33" c:formatCode="dd/mm/yy;@">
                        <c:v>45274</c:v>
                      </c:pt>
                      <c:pt idx="34" c:formatCode="dd/mm/yy;@">
                        <c:v>45281</c:v>
                      </c:pt>
                      <c:pt idx="35" c:formatCode="dd/mm/yy;@">
                        <c:v>45294</c:v>
                      </c:pt>
                      <c:pt idx="36" c:formatCode="dd/mm/yy;@">
                        <c:v>45303</c:v>
                      </c:pt>
                      <c:pt idx="37" c:formatCode="dd/mm/yy;@">
                        <c:v>45309</c:v>
                      </c:pt>
                      <c:pt idx="38" c:formatCode="dd/mm/yy;@">
                        <c:v>45323</c:v>
                      </c:pt>
                      <c:pt idx="39" c:formatCode="dd/mm/yy;@">
                        <c:v>45330</c:v>
                      </c:pt>
                      <c:pt idx="40" c:formatCode="dd/mm/yy;@">
                        <c:v>45337</c:v>
                      </c:pt>
                      <c:pt idx="41" c:formatCode="dd/mm/yy;@">
                        <c:v>45344</c:v>
                      </c:pt>
                      <c:pt idx="42" c:formatCode="dd/mm/yy;@">
                        <c:v>45351</c:v>
                      </c:pt>
                      <c:pt idx="43" c:formatCode="dd/mm/yy;@">
                        <c:v>45358</c:v>
                      </c:pt>
                      <c:pt idx="44" c:formatCode="dd/mm/yy;@">
                        <c:v>45365</c:v>
                      </c:pt>
                      <c:pt idx="45" c:formatCode="dd/mm/yy;@">
                        <c:v>45372</c:v>
                      </c:pt>
                      <c:pt idx="46" c:formatCode="dd/mm/yy;@">
                        <c:v>45379</c:v>
                      </c:pt>
                      <c:pt idx="47" c:formatCode="dd/mm/yy;@">
                        <c:v>45386</c:v>
                      </c:pt>
                      <c:pt idx="48" c:formatCode="dd/mm/yy;@">
                        <c:v>45400</c:v>
                      </c:pt>
                      <c:pt idx="49" c:formatCode="dd/mm/yy;@">
                        <c:v>45407</c:v>
                      </c:pt>
                      <c:pt idx="50" c:formatCode="dd/mm/yy;@">
                        <c:v>45414</c:v>
                      </c:pt>
                      <c:pt idx="51" c:formatCode="dd/mm/yy;@">
                        <c:v>45421</c:v>
                      </c:pt>
                      <c:pt idx="52" c:formatCode="dd/mm/yy;@">
                        <c:v>45428</c:v>
                      </c:pt>
                      <c:pt idx="53" c:formatCode="dd/mm/yy;@">
                        <c:v>45435</c:v>
                      </c:pt>
                      <c:pt idx="54" c:formatCode="dd/mm/yy;@">
                        <c:v>45442</c:v>
                      </c:pt>
                      <c:pt idx="55" c:formatCode="dd/mm/yy;@">
                        <c:v>45449</c:v>
                      </c:pt>
                      <c:pt idx="56" c:formatCode="dd/mm/yy;@">
                        <c:v>45456</c:v>
                      </c:pt>
                      <c:pt idx="57" c:formatCode="dd/mm/yy;@">
                        <c:v>45463</c:v>
                      </c:pt>
                      <c:pt idx="58" c:formatCode="dd/mm/yy;@">
                        <c:v>45470</c:v>
                      </c:pt>
                      <c:pt idx="59" c:formatCode="dd/mm/yy;@">
                        <c:v>45477</c:v>
                      </c:pt>
                      <c:pt idx="60" c:formatCode="dd/mm/yy;@">
                        <c:v>45484</c:v>
                      </c:pt>
                      <c:pt idx="61" c:formatCode="dd/mm/yy;@">
                        <c:v>45491</c:v>
                      </c:pt>
                      <c:pt idx="62" c:formatCode="dd/mm/yy;@">
                        <c:v>45498</c:v>
                      </c:pt>
                      <c:pt idx="63" c:formatCode="dd/mm/yy;@">
                        <c:v>45505</c:v>
                      </c:pt>
                      <c:pt idx="64" c:formatCode="dd/mm/yy;@">
                        <c:v>45512</c:v>
                      </c:pt>
                      <c:pt idx="65" c:formatCode="dd/mm/yy;@">
                        <c:v>45519</c:v>
                      </c:pt>
                      <c:pt idx="66" c:formatCode="dd/mm/yy;@">
                        <c:v>45547</c:v>
                      </c:pt>
                      <c:pt idx="67" c:formatCode="dd/mm/yy;@">
                        <c:v>45554</c:v>
                      </c:pt>
                      <c:pt idx="68" c:formatCode="dd/mm/yy;@">
                        <c:v>45561</c:v>
                      </c:pt>
                      <c:pt idx="69" c:formatCode="dd/mm/yy;@">
                        <c:v>45568</c:v>
                      </c:pt>
                      <c:pt idx="70" c:formatCode="dd/mm/yy;@">
                        <c:v>45575</c:v>
                      </c:pt>
                      <c:pt idx="71" c:formatCode="dd/mm/yy;@">
                        <c:v>45582</c:v>
                      </c:pt>
                      <c:pt idx="72" c:formatCode="dd/mm/yy;@">
                        <c:v>45589</c:v>
                      </c:pt>
                      <c:pt idx="73" c:formatCode="dd/mm/yy;@">
                        <c:v>45596</c:v>
                      </c:pt>
                      <c:pt idx="74" c:formatCode="dd/mm/yy;@">
                        <c:v>45603</c:v>
                      </c:pt>
                      <c:pt idx="75" c:formatCode="dd/mm/yy;@">
                        <c:v>45610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DIRECTION!#REF!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73995896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998520"/>
        <c:crosses val="autoZero"/>
        <c:auto val="1"/>
        <c:lblOffset val="100"/>
        <c:baseTimeUnit val="days"/>
      </c:dateAx>
      <c:valAx>
        <c:axId val="67399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995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f91058-56bc-486b-940b-5dfc776179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IMPAYES FAYCAL</a:t>
            </a:r>
            <a:endParaRPr lang="en-US"/>
          </a:p>
        </c:rich>
      </c:tx>
      <c:layout>
        <c:manualLayout>
          <c:xMode val="edge"/>
          <c:yMode val="edge"/>
          <c:x val="0.369341587821875"/>
          <c:y val="0.05319148936170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7931493079628"/>
          <c:y val="0.228352041101245"/>
          <c:w val="0.775737751531059"/>
          <c:h val="0.62346456692913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FAYCAL!$C$52:$C$140</c:f>
              <c:numCache>
                <c:formatCode>dd/mm/yy;@</c:formatCode>
                <c:ptCount val="89"/>
                <c:pt idx="0" c:formatCode="dd/mm/yy;@">
                  <c:v>45456</c:v>
                </c:pt>
                <c:pt idx="1" c:formatCode="dd/mm/yy;@">
                  <c:v>45463</c:v>
                </c:pt>
                <c:pt idx="2" c:formatCode="dd/mm/yy;@">
                  <c:v>45470</c:v>
                </c:pt>
                <c:pt idx="3" c:formatCode="dd/mm/yy;@">
                  <c:v>45477</c:v>
                </c:pt>
                <c:pt idx="4" c:formatCode="dd/mm/yy;@">
                  <c:v>45484</c:v>
                </c:pt>
                <c:pt idx="5" c:formatCode="dd/mm/yy;@">
                  <c:v>45491</c:v>
                </c:pt>
                <c:pt idx="6" c:formatCode="dd/mm/yy;@">
                  <c:v>45498</c:v>
                </c:pt>
                <c:pt idx="7" c:formatCode="dd/mm/yy;@">
                  <c:v>45505</c:v>
                </c:pt>
                <c:pt idx="8" c:formatCode="dd/mm/yy;@">
                  <c:v>45512</c:v>
                </c:pt>
                <c:pt idx="9" c:formatCode="dd/mm/yy;@">
                  <c:v>45519</c:v>
                </c:pt>
                <c:pt idx="10" c:formatCode="dd/mm/yy;@">
                  <c:v>45547</c:v>
                </c:pt>
                <c:pt idx="11" c:formatCode="dd/mm/yy;@">
                  <c:v>45554</c:v>
                </c:pt>
                <c:pt idx="12" c:formatCode="dd/mm/yy;@">
                  <c:v>45561</c:v>
                </c:pt>
                <c:pt idx="13" c:formatCode="dd/mm/yy;@">
                  <c:v>45568</c:v>
                </c:pt>
                <c:pt idx="14" c:formatCode="dd/mm/yy;@">
                  <c:v>45575</c:v>
                </c:pt>
                <c:pt idx="15" c:formatCode="dd/mm/yy;@">
                  <c:v>45582</c:v>
                </c:pt>
                <c:pt idx="16" c:formatCode="dd/mm/yy;@">
                  <c:v>45589</c:v>
                </c:pt>
                <c:pt idx="17" c:formatCode="dd/mm/yy;@">
                  <c:v>45596</c:v>
                </c:pt>
                <c:pt idx="18" c:formatCode="dd/mm/yy;@">
                  <c:v>45603</c:v>
                </c:pt>
                <c:pt idx="19" c:formatCode="dd/mm/yy;@">
                  <c:v>45610</c:v>
                </c:pt>
                <c:pt idx="20" c:formatCode="dd/mm/yy;@">
                  <c:v>45617</c:v>
                </c:pt>
                <c:pt idx="21" c:formatCode="dd/mm/yy;@">
                  <c:v>45624</c:v>
                </c:pt>
                <c:pt idx="22" c:formatCode="dd/mm/yy;@">
                  <c:v>45631</c:v>
                </c:pt>
                <c:pt idx="23" c:formatCode="dd/mm/yy;@">
                  <c:v>45638</c:v>
                </c:pt>
                <c:pt idx="24" c:formatCode="dd/mm/yy;@">
                  <c:v>45645</c:v>
                </c:pt>
                <c:pt idx="25" c:formatCode="dd/mm/yy;@">
                  <c:v>45652</c:v>
                </c:pt>
                <c:pt idx="26" c:formatCode="dd/mm/yy;@">
                  <c:v>45659</c:v>
                </c:pt>
                <c:pt idx="27" c:formatCode="dd/mm/yy;@">
                  <c:v>45666</c:v>
                </c:pt>
                <c:pt idx="28" c:formatCode="dd/mm/yy;@">
                  <c:v>45673</c:v>
                </c:pt>
                <c:pt idx="29" c:formatCode="dd/mm/yy;@">
                  <c:v>45680</c:v>
                </c:pt>
                <c:pt idx="30" c:formatCode="dd/mm/yy;@">
                  <c:v>45687</c:v>
                </c:pt>
                <c:pt idx="31" c:formatCode="dd/mm/yy;@">
                  <c:v>45694</c:v>
                </c:pt>
                <c:pt idx="32" c:formatCode="dd/mm/yy;@">
                  <c:v>45701</c:v>
                </c:pt>
                <c:pt idx="33" c:formatCode="dd/mm/yy;@">
                  <c:v>45708</c:v>
                </c:pt>
                <c:pt idx="34" c:formatCode="dd/mm/yy;@">
                  <c:v>45715</c:v>
                </c:pt>
                <c:pt idx="35" c:formatCode="dd/mm/yy;@">
                  <c:v>45722</c:v>
                </c:pt>
                <c:pt idx="36" c:formatCode="dd/mm/yy;@">
                  <c:v>45730</c:v>
                </c:pt>
                <c:pt idx="37" c:formatCode="dd/mm/yy;@">
                  <c:v>45736</c:v>
                </c:pt>
                <c:pt idx="38" c:formatCode="dd/mm/yy;@">
                  <c:v>45743</c:v>
                </c:pt>
                <c:pt idx="39" c:formatCode="dd/mm/yy;@">
                  <c:v>45750</c:v>
                </c:pt>
                <c:pt idx="40" c:formatCode="dd/mm/yy;@">
                  <c:v>45757</c:v>
                </c:pt>
                <c:pt idx="41" c:formatCode="dd/mm/yy;@">
                  <c:v>45764</c:v>
                </c:pt>
                <c:pt idx="42" c:formatCode="dd/mm/yy;@">
                  <c:v>45771</c:v>
                </c:pt>
                <c:pt idx="43" c:formatCode="dd/mm/yy;@">
                  <c:v>45779</c:v>
                </c:pt>
                <c:pt idx="44" c:formatCode="dd/mm/yy;@">
                  <c:v>45792</c:v>
                </c:pt>
                <c:pt idx="45" c:formatCode="dd/mm/yy;@">
                  <c:v>45799</c:v>
                </c:pt>
                <c:pt idx="46" c:formatCode="dd/mm/yy;@">
                  <c:v>45806</c:v>
                </c:pt>
                <c:pt idx="47" c:formatCode="dd/mm/yy;@">
                  <c:v>45820</c:v>
                </c:pt>
                <c:pt idx="48" c:formatCode="dd/mm/yy;@">
                  <c:v>45827</c:v>
                </c:pt>
                <c:pt idx="49" c:formatCode="dd/mm/yy;@">
                  <c:v>45842</c:v>
                </c:pt>
                <c:pt idx="50" c:formatCode="dd/mm/yy;@">
                  <c:v>45848</c:v>
                </c:pt>
                <c:pt idx="51" c:formatCode="dd/mm/yy;@">
                  <c:v>45856</c:v>
                </c:pt>
                <c:pt idx="52" c:formatCode="dd/mm/yy;@">
                  <c:v>45863</c:v>
                </c:pt>
                <c:pt idx="53" c:formatCode="dd/mm/yy;@">
                  <c:v>45880</c:v>
                </c:pt>
                <c:pt idx="54" c:formatCode="dd/mm/yy;@">
                  <c:v>45891</c:v>
                </c:pt>
                <c:pt idx="55" c:formatCode="dd/mm/yy;@">
                  <c:v>45919</c:v>
                </c:pt>
                <c:pt idx="56" c:formatCode="dd/mm/yy;@">
                  <c:v>45925</c:v>
                </c:pt>
                <c:pt idx="57" c:formatCode="dd/mm/yy;@">
                  <c:v>45933</c:v>
                </c:pt>
                <c:pt idx="58" c:formatCode="dd/mm/yy;@">
                  <c:v>45940</c:v>
                </c:pt>
                <c:pt idx="59" c:formatCode="dd/mm/yy;@">
                  <c:v>45947</c:v>
                </c:pt>
                <c:pt idx="60" c:formatCode="dd/mm/yy;@">
                  <c:v>45952</c:v>
                </c:pt>
                <c:pt idx="61" c:formatCode="dd/mm/yy;@">
                  <c:v>45961</c:v>
                </c:pt>
                <c:pt idx="62" c:formatCode="dd/mm/yy;@">
                  <c:v>45968</c:v>
                </c:pt>
                <c:pt idx="63" c:formatCode="dd/mm/yy;@">
                  <c:v>45975</c:v>
                </c:pt>
                <c:pt idx="64" c:formatCode="dd/mm/yy;@">
                  <c:v>45982</c:v>
                </c:pt>
                <c:pt idx="65" c:formatCode="dd/mm/yy;@">
                  <c:v>45989</c:v>
                </c:pt>
                <c:pt idx="66" c:formatCode="dd/mm/yy;@">
                  <c:v>45996</c:v>
                </c:pt>
                <c:pt idx="67" c:formatCode="dd/mm/yy;@">
                  <c:v>46003</c:v>
                </c:pt>
                <c:pt idx="68" c:formatCode="dd/mm/yy;@">
                  <c:v>46010</c:v>
                </c:pt>
                <c:pt idx="69" c:formatCode="dd/mm/yy;@">
                  <c:v>46017</c:v>
                </c:pt>
                <c:pt idx="70" c:formatCode="dd/mm/yy;@">
                  <c:v>46030</c:v>
                </c:pt>
                <c:pt idx="71" c:formatCode="dd/mm/yy;@">
                  <c:v>46042</c:v>
                </c:pt>
                <c:pt idx="72" c:formatCode="dd/mm/yy;@">
                  <c:v>46051</c:v>
                </c:pt>
                <c:pt idx="73" c:formatCode="dd/mm/yy;@">
                  <c:v>46066</c:v>
                </c:pt>
                <c:pt idx="74" c:formatCode="dd/mm/yy;@">
                  <c:v>46080</c:v>
                </c:pt>
                <c:pt idx="75" c:formatCode="dd/mm/yy;@">
                  <c:v>46087</c:v>
                </c:pt>
                <c:pt idx="76" c:formatCode="dd/mm/yy;@">
                  <c:v>46094</c:v>
                </c:pt>
                <c:pt idx="77" c:formatCode="dd/mm/yy;@">
                  <c:v>46114</c:v>
                </c:pt>
                <c:pt idx="78" c:formatCode="dd/mm/yy;@">
                  <c:v>46125</c:v>
                </c:pt>
                <c:pt idx="79" c:formatCode="dd/mm/yy;@">
                  <c:v>46136</c:v>
                </c:pt>
                <c:pt idx="80" c:formatCode="dd/mm/yy;@">
                  <c:v>46150</c:v>
                </c:pt>
                <c:pt idx="81" c:formatCode="dd/mm/yy;@">
                  <c:v>46157</c:v>
                </c:pt>
                <c:pt idx="82" c:formatCode="dd/mm/yy;@">
                  <c:v>46177</c:v>
                </c:pt>
                <c:pt idx="83" c:formatCode="dd/mm/yy;@">
                  <c:v>46185</c:v>
                </c:pt>
                <c:pt idx="84" c:formatCode="dd/mm/yy;@">
                  <c:v>46192</c:v>
                </c:pt>
                <c:pt idx="85" c:formatCode="dd/mm/yy;@">
                  <c:v>46199</c:v>
                </c:pt>
                <c:pt idx="86" c:formatCode="dd/mm/yy;@">
                  <c:v>46206</c:v>
                </c:pt>
                <c:pt idx="87" c:formatCode="dd/mm/yy;@">
                  <c:v>46213</c:v>
                </c:pt>
                <c:pt idx="88" c:formatCode="dd/mm/yy;@">
                  <c:v>46220</c:v>
                </c:pt>
              </c:numCache>
            </c:numRef>
          </c:cat>
          <c:val>
            <c:numRef>
              <c:f>FAYCAL!$D$52:$D$141</c:f>
              <c:numCache>
                <c:formatCode>#,##0.00</c:formatCode>
                <c:ptCount val="90"/>
                <c:pt idx="0">
                  <c:v>763053.76</c:v>
                </c:pt>
                <c:pt idx="1">
                  <c:v>856141.76</c:v>
                </c:pt>
                <c:pt idx="2">
                  <c:v>856141.76</c:v>
                </c:pt>
                <c:pt idx="3">
                  <c:v>856141.76</c:v>
                </c:pt>
                <c:pt idx="4">
                  <c:v>856141.76</c:v>
                </c:pt>
                <c:pt idx="5">
                  <c:v>1175355.72</c:v>
                </c:pt>
                <c:pt idx="6">
                  <c:v>1101955.72</c:v>
                </c:pt>
                <c:pt idx="7">
                  <c:v>758201.76</c:v>
                </c:pt>
                <c:pt idx="8">
                  <c:v>1023256.32</c:v>
                </c:pt>
                <c:pt idx="9">
                  <c:v>998956.32</c:v>
                </c:pt>
                <c:pt idx="10">
                  <c:v>834671.76</c:v>
                </c:pt>
                <c:pt idx="11">
                  <c:v>693851.76</c:v>
                </c:pt>
                <c:pt idx="12">
                  <c:v>723205.76</c:v>
                </c:pt>
                <c:pt idx="13">
                  <c:v>743205.76</c:v>
                </c:pt>
                <c:pt idx="14">
                  <c:v>869399.14</c:v>
                </c:pt>
                <c:pt idx="15">
                  <c:v>869399.14</c:v>
                </c:pt>
                <c:pt idx="16">
                  <c:v>685905.76</c:v>
                </c:pt>
                <c:pt idx="17">
                  <c:v>680065.76</c:v>
                </c:pt>
                <c:pt idx="18">
                  <c:v>771859.14</c:v>
                </c:pt>
                <c:pt idx="19">
                  <c:v>1014013.54</c:v>
                </c:pt>
                <c:pt idx="20">
                  <c:v>930520.16</c:v>
                </c:pt>
                <c:pt idx="21">
                  <c:v>809186.32</c:v>
                </c:pt>
                <c:pt idx="22">
                  <c:v>798967.76</c:v>
                </c:pt>
                <c:pt idx="23">
                  <c:v>957267.76</c:v>
                </c:pt>
                <c:pt idx="24">
                  <c:v>1027778.76</c:v>
                </c:pt>
                <c:pt idx="25">
                  <c:v>1050900.76</c:v>
                </c:pt>
                <c:pt idx="26">
                  <c:v>1628046.35</c:v>
                </c:pt>
                <c:pt idx="27">
                  <c:v>1244715.76</c:v>
                </c:pt>
                <c:pt idx="28">
                  <c:v>1257715.76</c:v>
                </c:pt>
                <c:pt idx="29">
                  <c:v>1186035.76</c:v>
                </c:pt>
                <c:pt idx="30">
                  <c:v>1067935.76</c:v>
                </c:pt>
                <c:pt idx="31">
                  <c:v>941881.26</c:v>
                </c:pt>
                <c:pt idx="32">
                  <c:v>820805.26</c:v>
                </c:pt>
                <c:pt idx="33">
                  <c:v>844875.26</c:v>
                </c:pt>
                <c:pt idx="34">
                  <c:v>780523.26</c:v>
                </c:pt>
                <c:pt idx="35">
                  <c:v>802023.26</c:v>
                </c:pt>
                <c:pt idx="36">
                  <c:v>814773.26</c:v>
                </c:pt>
                <c:pt idx="37">
                  <c:v>875131.26</c:v>
                </c:pt>
                <c:pt idx="38">
                  <c:v>1041025.26</c:v>
                </c:pt>
                <c:pt idx="39">
                  <c:v>1035025.26</c:v>
                </c:pt>
                <c:pt idx="40">
                  <c:v>1179575.08</c:v>
                </c:pt>
                <c:pt idx="41">
                  <c:v>1190575.08</c:v>
                </c:pt>
                <c:pt idx="42">
                  <c:v>1026041.26</c:v>
                </c:pt>
                <c:pt idx="43">
                  <c:v>1093381.26</c:v>
                </c:pt>
                <c:pt idx="44">
                  <c:v>1551831.26</c:v>
                </c:pt>
                <c:pt idx="45">
                  <c:v>1584874.31</c:v>
                </c:pt>
                <c:pt idx="46">
                  <c:v>1708526.27</c:v>
                </c:pt>
                <c:pt idx="47">
                  <c:v>1068803.22</c:v>
                </c:pt>
                <c:pt idx="48">
                  <c:v>1015233.66</c:v>
                </c:pt>
                <c:pt idx="49">
                  <c:v>1005475.66</c:v>
                </c:pt>
                <c:pt idx="50">
                  <c:v>1222973.66</c:v>
                </c:pt>
                <c:pt idx="51">
                  <c:v>1134669.35</c:v>
                </c:pt>
                <c:pt idx="52">
                  <c:v>1172073.2</c:v>
                </c:pt>
                <c:pt idx="53">
                  <c:v>976554.8</c:v>
                </c:pt>
                <c:pt idx="54">
                  <c:v>939150.95</c:v>
                </c:pt>
                <c:pt idx="55">
                  <c:v>1000475.45</c:v>
                </c:pt>
                <c:pt idx="56">
                  <c:v>1176375.45</c:v>
                </c:pt>
                <c:pt idx="57">
                  <c:v>996375.45</c:v>
                </c:pt>
                <c:pt idx="58">
                  <c:v>1153177.81</c:v>
                </c:pt>
                <c:pt idx="59">
                  <c:v>1198057.81</c:v>
                </c:pt>
                <c:pt idx="60">
                  <c:v>1198057.81</c:v>
                </c:pt>
                <c:pt idx="61">
                  <c:v>1248655.96</c:v>
                </c:pt>
                <c:pt idx="62">
                  <c:v>1005514.96</c:v>
                </c:pt>
                <c:pt idx="63">
                  <c:v>1264621.2</c:v>
                </c:pt>
                <c:pt idx="64">
                  <c:v>1404576.09</c:v>
                </c:pt>
                <c:pt idx="65">
                  <c:v>1466304.09</c:v>
                </c:pt>
                <c:pt idx="66">
                  <c:v>1799130.97</c:v>
                </c:pt>
                <c:pt idx="67">
                  <c:v>1789888.73</c:v>
                </c:pt>
                <c:pt idx="68">
                  <c:v>1798206.17</c:v>
                </c:pt>
                <c:pt idx="69">
                  <c:v>2075534.98</c:v>
                </c:pt>
                <c:pt idx="70">
                  <c:v>2017439.47</c:v>
                </c:pt>
                <c:pt idx="71">
                  <c:v>1363479.15</c:v>
                </c:pt>
                <c:pt idx="72">
                  <c:v>1398760.15</c:v>
                </c:pt>
                <c:pt idx="73">
                  <c:v>1044816.15</c:v>
                </c:pt>
                <c:pt idx="74">
                  <c:v>1140612.15</c:v>
                </c:pt>
                <c:pt idx="75">
                  <c:v>1291816.15</c:v>
                </c:pt>
                <c:pt idx="76">
                  <c:v>1227305.15</c:v>
                </c:pt>
                <c:pt idx="77">
                  <c:v>1360052.35</c:v>
                </c:pt>
                <c:pt idx="78">
                  <c:v>1201161.35</c:v>
                </c:pt>
                <c:pt idx="79">
                  <c:v>1205291.35</c:v>
                </c:pt>
                <c:pt idx="80">
                  <c:v>1549145.35</c:v>
                </c:pt>
                <c:pt idx="81">
                  <c:v>1666327.35</c:v>
                </c:pt>
                <c:pt idx="82">
                  <c:v>1498577.75</c:v>
                </c:pt>
                <c:pt idx="83">
                  <c:v>1512028.75</c:v>
                </c:pt>
                <c:pt idx="84">
                  <c:v>1648022.75</c:v>
                </c:pt>
                <c:pt idx="85">
                  <c:v>1253670.75</c:v>
                </c:pt>
                <c:pt idx="86">
                  <c:v>1233630.75</c:v>
                </c:pt>
                <c:pt idx="87">
                  <c:v>1394391.85</c:v>
                </c:pt>
                <c:pt idx="88">
                  <c:v>1212911.88</c:v>
                </c:pt>
                <c:pt idx="89">
                  <c:v>1239906.88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3759632"/>
        <c:axId val="64376107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FAYCAL!$C$52:$C$140</c15:sqref>
                        </c15:formulaRef>
                      </c:ext>
                    </c:extLst>
                    <c:numCache>
                      <c:formatCode>dd/mm/yy;@</c:formatCode>
                      <c:ptCount val="89"/>
                      <c:pt idx="0" c:formatCode="dd/mm/yy;@">
                        <c:v>45456</c:v>
                      </c:pt>
                      <c:pt idx="1" c:formatCode="dd/mm/yy;@">
                        <c:v>45463</c:v>
                      </c:pt>
                      <c:pt idx="2" c:formatCode="dd/mm/yy;@">
                        <c:v>45470</c:v>
                      </c:pt>
                      <c:pt idx="3" c:formatCode="dd/mm/yy;@">
                        <c:v>45477</c:v>
                      </c:pt>
                      <c:pt idx="4" c:formatCode="dd/mm/yy;@">
                        <c:v>45484</c:v>
                      </c:pt>
                      <c:pt idx="5" c:formatCode="dd/mm/yy;@">
                        <c:v>45491</c:v>
                      </c:pt>
                      <c:pt idx="6" c:formatCode="dd/mm/yy;@">
                        <c:v>45498</c:v>
                      </c:pt>
                      <c:pt idx="7" c:formatCode="dd/mm/yy;@">
                        <c:v>45505</c:v>
                      </c:pt>
                      <c:pt idx="8" c:formatCode="dd/mm/yy;@">
                        <c:v>45512</c:v>
                      </c:pt>
                      <c:pt idx="9" c:formatCode="dd/mm/yy;@">
                        <c:v>45519</c:v>
                      </c:pt>
                      <c:pt idx="10" c:formatCode="dd/mm/yy;@">
                        <c:v>45547</c:v>
                      </c:pt>
                      <c:pt idx="11" c:formatCode="dd/mm/yy;@">
                        <c:v>45554</c:v>
                      </c:pt>
                      <c:pt idx="12" c:formatCode="dd/mm/yy;@">
                        <c:v>45561</c:v>
                      </c:pt>
                      <c:pt idx="13" c:formatCode="dd/mm/yy;@">
                        <c:v>45568</c:v>
                      </c:pt>
                      <c:pt idx="14" c:formatCode="dd/mm/yy;@">
                        <c:v>45575</c:v>
                      </c:pt>
                      <c:pt idx="15" c:formatCode="dd/mm/yy;@">
                        <c:v>45582</c:v>
                      </c:pt>
                      <c:pt idx="16" c:formatCode="dd/mm/yy;@">
                        <c:v>45589</c:v>
                      </c:pt>
                      <c:pt idx="17" c:formatCode="dd/mm/yy;@">
                        <c:v>45596</c:v>
                      </c:pt>
                      <c:pt idx="18" c:formatCode="dd/mm/yy;@">
                        <c:v>45603</c:v>
                      </c:pt>
                      <c:pt idx="19" c:formatCode="dd/mm/yy;@">
                        <c:v>45610</c:v>
                      </c:pt>
                      <c:pt idx="20" c:formatCode="dd/mm/yy;@">
                        <c:v>45617</c:v>
                      </c:pt>
                      <c:pt idx="21" c:formatCode="dd/mm/yy;@">
                        <c:v>45624</c:v>
                      </c:pt>
                      <c:pt idx="22" c:formatCode="dd/mm/yy;@">
                        <c:v>45631</c:v>
                      </c:pt>
                      <c:pt idx="23" c:formatCode="dd/mm/yy;@">
                        <c:v>45638</c:v>
                      </c:pt>
                      <c:pt idx="24" c:formatCode="dd/mm/yy;@">
                        <c:v>45645</c:v>
                      </c:pt>
                      <c:pt idx="25" c:formatCode="dd/mm/yy;@">
                        <c:v>45652</c:v>
                      </c:pt>
                      <c:pt idx="26" c:formatCode="dd/mm/yy;@">
                        <c:v>45659</c:v>
                      </c:pt>
                      <c:pt idx="27" c:formatCode="dd/mm/yy;@">
                        <c:v>45666</c:v>
                      </c:pt>
                      <c:pt idx="28" c:formatCode="dd/mm/yy;@">
                        <c:v>45673</c:v>
                      </c:pt>
                      <c:pt idx="29" c:formatCode="dd/mm/yy;@">
                        <c:v>45680</c:v>
                      </c:pt>
                      <c:pt idx="30" c:formatCode="dd/mm/yy;@">
                        <c:v>45687</c:v>
                      </c:pt>
                      <c:pt idx="31" c:formatCode="dd/mm/yy;@">
                        <c:v>45694</c:v>
                      </c:pt>
                      <c:pt idx="32" c:formatCode="dd/mm/yy;@">
                        <c:v>45701</c:v>
                      </c:pt>
                      <c:pt idx="33" c:formatCode="dd/mm/yy;@">
                        <c:v>45708</c:v>
                      </c:pt>
                      <c:pt idx="34" c:formatCode="dd/mm/yy;@">
                        <c:v>45715</c:v>
                      </c:pt>
                      <c:pt idx="35" c:formatCode="dd/mm/yy;@">
                        <c:v>45722</c:v>
                      </c:pt>
                      <c:pt idx="36" c:formatCode="dd/mm/yy;@">
                        <c:v>45730</c:v>
                      </c:pt>
                      <c:pt idx="37" c:formatCode="dd/mm/yy;@">
                        <c:v>45736</c:v>
                      </c:pt>
                      <c:pt idx="38" c:formatCode="dd/mm/yy;@">
                        <c:v>45743</c:v>
                      </c:pt>
                      <c:pt idx="39" c:formatCode="dd/mm/yy;@">
                        <c:v>45750</c:v>
                      </c:pt>
                      <c:pt idx="40" c:formatCode="dd/mm/yy;@">
                        <c:v>45757</c:v>
                      </c:pt>
                      <c:pt idx="41" c:formatCode="dd/mm/yy;@">
                        <c:v>45764</c:v>
                      </c:pt>
                      <c:pt idx="42" c:formatCode="dd/mm/yy;@">
                        <c:v>45771</c:v>
                      </c:pt>
                      <c:pt idx="43" c:formatCode="dd/mm/yy;@">
                        <c:v>45779</c:v>
                      </c:pt>
                      <c:pt idx="44" c:formatCode="dd/mm/yy;@">
                        <c:v>45792</c:v>
                      </c:pt>
                      <c:pt idx="45" c:formatCode="dd/mm/yy;@">
                        <c:v>45799</c:v>
                      </c:pt>
                      <c:pt idx="46" c:formatCode="dd/mm/yy;@">
                        <c:v>45806</c:v>
                      </c:pt>
                      <c:pt idx="47" c:formatCode="dd/mm/yy;@">
                        <c:v>45820</c:v>
                      </c:pt>
                      <c:pt idx="48" c:formatCode="dd/mm/yy;@">
                        <c:v>45827</c:v>
                      </c:pt>
                      <c:pt idx="49" c:formatCode="dd/mm/yy;@">
                        <c:v>45842</c:v>
                      </c:pt>
                      <c:pt idx="50" c:formatCode="dd/mm/yy;@">
                        <c:v>45848</c:v>
                      </c:pt>
                      <c:pt idx="51" c:formatCode="dd/mm/yy;@">
                        <c:v>45856</c:v>
                      </c:pt>
                      <c:pt idx="52" c:formatCode="dd/mm/yy;@">
                        <c:v>45863</c:v>
                      </c:pt>
                      <c:pt idx="53" c:formatCode="dd/mm/yy;@">
                        <c:v>45880</c:v>
                      </c:pt>
                      <c:pt idx="54" c:formatCode="dd/mm/yy;@">
                        <c:v>45891</c:v>
                      </c:pt>
                      <c:pt idx="55" c:formatCode="dd/mm/yy;@">
                        <c:v>45919</c:v>
                      </c:pt>
                      <c:pt idx="56" c:formatCode="dd/mm/yy;@">
                        <c:v>45925</c:v>
                      </c:pt>
                      <c:pt idx="57" c:formatCode="dd/mm/yy;@">
                        <c:v>45933</c:v>
                      </c:pt>
                      <c:pt idx="58" c:formatCode="dd/mm/yy;@">
                        <c:v>45940</c:v>
                      </c:pt>
                      <c:pt idx="59" c:formatCode="dd/mm/yy;@">
                        <c:v>45947</c:v>
                      </c:pt>
                      <c:pt idx="60" c:formatCode="dd/mm/yy;@">
                        <c:v>45952</c:v>
                      </c:pt>
                      <c:pt idx="61" c:formatCode="dd/mm/yy;@">
                        <c:v>45961</c:v>
                      </c:pt>
                      <c:pt idx="62" c:formatCode="dd/mm/yy;@">
                        <c:v>45968</c:v>
                      </c:pt>
                      <c:pt idx="63" c:formatCode="dd/mm/yy;@">
                        <c:v>45975</c:v>
                      </c:pt>
                      <c:pt idx="64" c:formatCode="dd/mm/yy;@">
                        <c:v>45982</c:v>
                      </c:pt>
                      <c:pt idx="65" c:formatCode="dd/mm/yy;@">
                        <c:v>45989</c:v>
                      </c:pt>
                      <c:pt idx="66" c:formatCode="dd/mm/yy;@">
                        <c:v>45996</c:v>
                      </c:pt>
                      <c:pt idx="67" c:formatCode="dd/mm/yy;@">
                        <c:v>46003</c:v>
                      </c:pt>
                      <c:pt idx="68" c:formatCode="dd/mm/yy;@">
                        <c:v>46010</c:v>
                      </c:pt>
                      <c:pt idx="69" c:formatCode="dd/mm/yy;@">
                        <c:v>46017</c:v>
                      </c:pt>
                      <c:pt idx="70" c:formatCode="dd/mm/yy;@">
                        <c:v>46030</c:v>
                      </c:pt>
                      <c:pt idx="71" c:formatCode="dd/mm/yy;@">
                        <c:v>46042</c:v>
                      </c:pt>
                      <c:pt idx="72" c:formatCode="dd/mm/yy;@">
                        <c:v>46051</c:v>
                      </c:pt>
                      <c:pt idx="73" c:formatCode="dd/mm/yy;@">
                        <c:v>46066</c:v>
                      </c:pt>
                      <c:pt idx="74" c:formatCode="dd/mm/yy;@">
                        <c:v>46080</c:v>
                      </c:pt>
                      <c:pt idx="75" c:formatCode="dd/mm/yy;@">
                        <c:v>46087</c:v>
                      </c:pt>
                      <c:pt idx="76" c:formatCode="dd/mm/yy;@">
                        <c:v>46094</c:v>
                      </c:pt>
                      <c:pt idx="77" c:formatCode="dd/mm/yy;@">
                        <c:v>46114</c:v>
                      </c:pt>
                      <c:pt idx="78" c:formatCode="dd/mm/yy;@">
                        <c:v>46125</c:v>
                      </c:pt>
                      <c:pt idx="79" c:formatCode="dd/mm/yy;@">
                        <c:v>46136</c:v>
                      </c:pt>
                      <c:pt idx="80" c:formatCode="dd/mm/yy;@">
                        <c:v>46150</c:v>
                      </c:pt>
                      <c:pt idx="81" c:formatCode="dd/mm/yy;@">
                        <c:v>46157</c:v>
                      </c:pt>
                      <c:pt idx="82" c:formatCode="dd/mm/yy;@">
                        <c:v>46177</c:v>
                      </c:pt>
                      <c:pt idx="83" c:formatCode="dd/mm/yy;@">
                        <c:v>46185</c:v>
                      </c:pt>
                      <c:pt idx="84" c:formatCode="dd/mm/yy;@">
                        <c:v>46192</c:v>
                      </c:pt>
                      <c:pt idx="85" c:formatCode="dd/mm/yy;@">
                        <c:v>46199</c:v>
                      </c:pt>
                      <c:pt idx="86" c:formatCode="dd/mm/yy;@">
                        <c:v>46206</c:v>
                      </c:pt>
                      <c:pt idx="87" c:formatCode="dd/mm/yy;@">
                        <c:v>46213</c:v>
                      </c:pt>
                      <c:pt idx="88" c:formatCode="dd/mm/yy;@">
                        <c:v>46220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FAYCAL!$E$52:$E$122</c15:sqref>
                        </c15:formulaRef>
                      </c:ext>
                    </c:extLst>
                    <c:numCache>
                      <c:formatCode>#,##0.00</c:formatCode>
                      <c:ptCount val="71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FAYCAL!$C$52:$C$140</c15:sqref>
                        </c15:formulaRef>
                      </c:ext>
                    </c:extLst>
                    <c:numCache>
                      <c:formatCode>dd/mm/yy;@</c:formatCode>
                      <c:ptCount val="89"/>
                      <c:pt idx="0" c:formatCode="dd/mm/yy;@">
                        <c:v>45456</c:v>
                      </c:pt>
                      <c:pt idx="1" c:formatCode="dd/mm/yy;@">
                        <c:v>45463</c:v>
                      </c:pt>
                      <c:pt idx="2" c:formatCode="dd/mm/yy;@">
                        <c:v>45470</c:v>
                      </c:pt>
                      <c:pt idx="3" c:formatCode="dd/mm/yy;@">
                        <c:v>45477</c:v>
                      </c:pt>
                      <c:pt idx="4" c:formatCode="dd/mm/yy;@">
                        <c:v>45484</c:v>
                      </c:pt>
                      <c:pt idx="5" c:formatCode="dd/mm/yy;@">
                        <c:v>45491</c:v>
                      </c:pt>
                      <c:pt idx="6" c:formatCode="dd/mm/yy;@">
                        <c:v>45498</c:v>
                      </c:pt>
                      <c:pt idx="7" c:formatCode="dd/mm/yy;@">
                        <c:v>45505</c:v>
                      </c:pt>
                      <c:pt idx="8" c:formatCode="dd/mm/yy;@">
                        <c:v>45512</c:v>
                      </c:pt>
                      <c:pt idx="9" c:formatCode="dd/mm/yy;@">
                        <c:v>45519</c:v>
                      </c:pt>
                      <c:pt idx="10" c:formatCode="dd/mm/yy;@">
                        <c:v>45547</c:v>
                      </c:pt>
                      <c:pt idx="11" c:formatCode="dd/mm/yy;@">
                        <c:v>45554</c:v>
                      </c:pt>
                      <c:pt idx="12" c:formatCode="dd/mm/yy;@">
                        <c:v>45561</c:v>
                      </c:pt>
                      <c:pt idx="13" c:formatCode="dd/mm/yy;@">
                        <c:v>45568</c:v>
                      </c:pt>
                      <c:pt idx="14" c:formatCode="dd/mm/yy;@">
                        <c:v>45575</c:v>
                      </c:pt>
                      <c:pt idx="15" c:formatCode="dd/mm/yy;@">
                        <c:v>45582</c:v>
                      </c:pt>
                      <c:pt idx="16" c:formatCode="dd/mm/yy;@">
                        <c:v>45589</c:v>
                      </c:pt>
                      <c:pt idx="17" c:formatCode="dd/mm/yy;@">
                        <c:v>45596</c:v>
                      </c:pt>
                      <c:pt idx="18" c:formatCode="dd/mm/yy;@">
                        <c:v>45603</c:v>
                      </c:pt>
                      <c:pt idx="19" c:formatCode="dd/mm/yy;@">
                        <c:v>45610</c:v>
                      </c:pt>
                      <c:pt idx="20" c:formatCode="dd/mm/yy;@">
                        <c:v>45617</c:v>
                      </c:pt>
                      <c:pt idx="21" c:formatCode="dd/mm/yy;@">
                        <c:v>45624</c:v>
                      </c:pt>
                      <c:pt idx="22" c:formatCode="dd/mm/yy;@">
                        <c:v>45631</c:v>
                      </c:pt>
                      <c:pt idx="23" c:formatCode="dd/mm/yy;@">
                        <c:v>45638</c:v>
                      </c:pt>
                      <c:pt idx="24" c:formatCode="dd/mm/yy;@">
                        <c:v>45645</c:v>
                      </c:pt>
                      <c:pt idx="25" c:formatCode="dd/mm/yy;@">
                        <c:v>45652</c:v>
                      </c:pt>
                      <c:pt idx="26" c:formatCode="dd/mm/yy;@">
                        <c:v>45659</c:v>
                      </c:pt>
                      <c:pt idx="27" c:formatCode="dd/mm/yy;@">
                        <c:v>45666</c:v>
                      </c:pt>
                      <c:pt idx="28" c:formatCode="dd/mm/yy;@">
                        <c:v>45673</c:v>
                      </c:pt>
                      <c:pt idx="29" c:formatCode="dd/mm/yy;@">
                        <c:v>45680</c:v>
                      </c:pt>
                      <c:pt idx="30" c:formatCode="dd/mm/yy;@">
                        <c:v>45687</c:v>
                      </c:pt>
                      <c:pt idx="31" c:formatCode="dd/mm/yy;@">
                        <c:v>45694</c:v>
                      </c:pt>
                      <c:pt idx="32" c:formatCode="dd/mm/yy;@">
                        <c:v>45701</c:v>
                      </c:pt>
                      <c:pt idx="33" c:formatCode="dd/mm/yy;@">
                        <c:v>45708</c:v>
                      </c:pt>
                      <c:pt idx="34" c:formatCode="dd/mm/yy;@">
                        <c:v>45715</c:v>
                      </c:pt>
                      <c:pt idx="35" c:formatCode="dd/mm/yy;@">
                        <c:v>45722</c:v>
                      </c:pt>
                      <c:pt idx="36" c:formatCode="dd/mm/yy;@">
                        <c:v>45730</c:v>
                      </c:pt>
                      <c:pt idx="37" c:formatCode="dd/mm/yy;@">
                        <c:v>45736</c:v>
                      </c:pt>
                      <c:pt idx="38" c:formatCode="dd/mm/yy;@">
                        <c:v>45743</c:v>
                      </c:pt>
                      <c:pt idx="39" c:formatCode="dd/mm/yy;@">
                        <c:v>45750</c:v>
                      </c:pt>
                      <c:pt idx="40" c:formatCode="dd/mm/yy;@">
                        <c:v>45757</c:v>
                      </c:pt>
                      <c:pt idx="41" c:formatCode="dd/mm/yy;@">
                        <c:v>45764</c:v>
                      </c:pt>
                      <c:pt idx="42" c:formatCode="dd/mm/yy;@">
                        <c:v>45771</c:v>
                      </c:pt>
                      <c:pt idx="43" c:formatCode="dd/mm/yy;@">
                        <c:v>45779</c:v>
                      </c:pt>
                      <c:pt idx="44" c:formatCode="dd/mm/yy;@">
                        <c:v>45792</c:v>
                      </c:pt>
                      <c:pt idx="45" c:formatCode="dd/mm/yy;@">
                        <c:v>45799</c:v>
                      </c:pt>
                      <c:pt idx="46" c:formatCode="dd/mm/yy;@">
                        <c:v>45806</c:v>
                      </c:pt>
                      <c:pt idx="47" c:formatCode="dd/mm/yy;@">
                        <c:v>45820</c:v>
                      </c:pt>
                      <c:pt idx="48" c:formatCode="dd/mm/yy;@">
                        <c:v>45827</c:v>
                      </c:pt>
                      <c:pt idx="49" c:formatCode="dd/mm/yy;@">
                        <c:v>45842</c:v>
                      </c:pt>
                      <c:pt idx="50" c:formatCode="dd/mm/yy;@">
                        <c:v>45848</c:v>
                      </c:pt>
                      <c:pt idx="51" c:formatCode="dd/mm/yy;@">
                        <c:v>45856</c:v>
                      </c:pt>
                      <c:pt idx="52" c:formatCode="dd/mm/yy;@">
                        <c:v>45863</c:v>
                      </c:pt>
                      <c:pt idx="53" c:formatCode="dd/mm/yy;@">
                        <c:v>45880</c:v>
                      </c:pt>
                      <c:pt idx="54" c:formatCode="dd/mm/yy;@">
                        <c:v>45891</c:v>
                      </c:pt>
                      <c:pt idx="55" c:formatCode="dd/mm/yy;@">
                        <c:v>45919</c:v>
                      </c:pt>
                      <c:pt idx="56" c:formatCode="dd/mm/yy;@">
                        <c:v>45925</c:v>
                      </c:pt>
                      <c:pt idx="57" c:formatCode="dd/mm/yy;@">
                        <c:v>45933</c:v>
                      </c:pt>
                      <c:pt idx="58" c:formatCode="dd/mm/yy;@">
                        <c:v>45940</c:v>
                      </c:pt>
                      <c:pt idx="59" c:formatCode="dd/mm/yy;@">
                        <c:v>45947</c:v>
                      </c:pt>
                      <c:pt idx="60" c:formatCode="dd/mm/yy;@">
                        <c:v>45952</c:v>
                      </c:pt>
                      <c:pt idx="61" c:formatCode="dd/mm/yy;@">
                        <c:v>45961</c:v>
                      </c:pt>
                      <c:pt idx="62" c:formatCode="dd/mm/yy;@">
                        <c:v>45968</c:v>
                      </c:pt>
                      <c:pt idx="63" c:formatCode="dd/mm/yy;@">
                        <c:v>45975</c:v>
                      </c:pt>
                      <c:pt idx="64" c:formatCode="dd/mm/yy;@">
                        <c:v>45982</c:v>
                      </c:pt>
                      <c:pt idx="65" c:formatCode="dd/mm/yy;@">
                        <c:v>45989</c:v>
                      </c:pt>
                      <c:pt idx="66" c:formatCode="dd/mm/yy;@">
                        <c:v>45996</c:v>
                      </c:pt>
                      <c:pt idx="67" c:formatCode="dd/mm/yy;@">
                        <c:v>46003</c:v>
                      </c:pt>
                      <c:pt idx="68" c:formatCode="dd/mm/yy;@">
                        <c:v>46010</c:v>
                      </c:pt>
                      <c:pt idx="69" c:formatCode="dd/mm/yy;@">
                        <c:v>46017</c:v>
                      </c:pt>
                      <c:pt idx="70" c:formatCode="dd/mm/yy;@">
                        <c:v>46030</c:v>
                      </c:pt>
                      <c:pt idx="71" c:formatCode="dd/mm/yy;@">
                        <c:v>46042</c:v>
                      </c:pt>
                      <c:pt idx="72" c:formatCode="dd/mm/yy;@">
                        <c:v>46051</c:v>
                      </c:pt>
                      <c:pt idx="73" c:formatCode="dd/mm/yy;@">
                        <c:v>46066</c:v>
                      </c:pt>
                      <c:pt idx="74" c:formatCode="dd/mm/yy;@">
                        <c:v>46080</c:v>
                      </c:pt>
                      <c:pt idx="75" c:formatCode="dd/mm/yy;@">
                        <c:v>46087</c:v>
                      </c:pt>
                      <c:pt idx="76" c:formatCode="dd/mm/yy;@">
                        <c:v>46094</c:v>
                      </c:pt>
                      <c:pt idx="77" c:formatCode="dd/mm/yy;@">
                        <c:v>46114</c:v>
                      </c:pt>
                      <c:pt idx="78" c:formatCode="dd/mm/yy;@">
                        <c:v>46125</c:v>
                      </c:pt>
                      <c:pt idx="79" c:formatCode="dd/mm/yy;@">
                        <c:v>46136</c:v>
                      </c:pt>
                      <c:pt idx="80" c:formatCode="dd/mm/yy;@">
                        <c:v>46150</c:v>
                      </c:pt>
                      <c:pt idx="81" c:formatCode="dd/mm/yy;@">
                        <c:v>46157</c:v>
                      </c:pt>
                      <c:pt idx="82" c:formatCode="dd/mm/yy;@">
                        <c:v>46177</c:v>
                      </c:pt>
                      <c:pt idx="83" c:formatCode="dd/mm/yy;@">
                        <c:v>46185</c:v>
                      </c:pt>
                      <c:pt idx="84" c:formatCode="dd/mm/yy;@">
                        <c:v>46192</c:v>
                      </c:pt>
                      <c:pt idx="85" c:formatCode="dd/mm/yy;@">
                        <c:v>46199</c:v>
                      </c:pt>
                      <c:pt idx="86" c:formatCode="dd/mm/yy;@">
                        <c:v>46206</c:v>
                      </c:pt>
                      <c:pt idx="87" c:formatCode="dd/mm/yy;@">
                        <c:v>46213</c:v>
                      </c:pt>
                      <c:pt idx="88" c:formatCode="dd/mm/yy;@">
                        <c:v>46220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FAYCAL!$F$52:$F$122</c15:sqref>
                        </c15:formulaRef>
                      </c:ext>
                    </c:extLst>
                    <c:numCache>
                      <c:formatCode>#,##0.00</c:formatCode>
                      <c:ptCount val="71"/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43759632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761072"/>
        <c:crosses val="autoZero"/>
        <c:auto val="1"/>
        <c:lblOffset val="100"/>
        <c:baseTimeUnit val="days"/>
      </c:dateAx>
      <c:valAx>
        <c:axId val="64376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75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63d5fc-fdf9-42cd-896a-76c2db1ac6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IMPAYES NAOUFAL</a:t>
            </a:r>
            <a:endParaRPr lang="fr-FR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2793166145839"/>
          <c:y val="0.163443180713522"/>
          <c:w val="0.821159111867773"/>
          <c:h val="0.57067913385826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NAOUFAL!$D$107:$G$196</c:f>
              <c:multiLvlStrCache>
                <c:ptCount val="90"/>
                <c:lvl/>
                <c:lvl/>
                <c:lvl>
                  <c:pt idx="0" c:formatCode="#,##0.00">
                    <c:v>833139.58</c:v>
                  </c:pt>
                  <c:pt idx="1" c:formatCode="#,##0.00">
                    <c:v>715284</c:v>
                  </c:pt>
                  <c:pt idx="2" c:formatCode="#,##0.00">
                    <c:v>847444</c:v>
                  </c:pt>
                  <c:pt idx="3" c:formatCode="#,##0.00">
                    <c:v>939524</c:v>
                  </c:pt>
                  <c:pt idx="4" c:formatCode="#,##0.00">
                    <c:v>805124</c:v>
                  </c:pt>
                  <c:pt idx="5" c:formatCode="#,##0.00">
                    <c:v>892744</c:v>
                  </c:pt>
                  <c:pt idx="6" c:formatCode="#,##0.00">
                    <c:v>1036344</c:v>
                  </c:pt>
                  <c:pt idx="7" c:formatCode="#,##0.00">
                    <c:v>858044</c:v>
                  </c:pt>
                  <c:pt idx="8" c:formatCode="#,##0.00">
                    <c:v>1017427.82</c:v>
                  </c:pt>
                  <c:pt idx="9" c:formatCode="#,##0.00">
                    <c:v>974274.39</c:v>
                  </c:pt>
                  <c:pt idx="10" c:formatCode="#,##0.00">
                    <c:v>1012702.66</c:v>
                  </c:pt>
                  <c:pt idx="11" c:formatCode="#,##0.00">
                    <c:v>908831</c:v>
                  </c:pt>
                  <c:pt idx="12" c:formatCode="#,##0.00">
                    <c:v>1014173</c:v>
                  </c:pt>
                  <c:pt idx="13" c:formatCode="#,##0.00">
                    <c:v>1084173</c:v>
                  </c:pt>
                  <c:pt idx="14" c:formatCode="#,##0.00">
                    <c:v>1044893.63</c:v>
                  </c:pt>
                  <c:pt idx="15" c:formatCode="#,##0.00">
                    <c:v>1243731.19</c:v>
                  </c:pt>
                  <c:pt idx="16" c:formatCode="#,##0.00">
                    <c:v>1181331.19</c:v>
                  </c:pt>
                  <c:pt idx="17" c:formatCode="#,##0.00">
                    <c:v>1176268.19</c:v>
                  </c:pt>
                  <c:pt idx="18" c:formatCode="#,##0.00">
                    <c:v>1003466.19</c:v>
                  </c:pt>
                  <c:pt idx="19" c:formatCode="#,##0.00">
                    <c:v>988466.19</c:v>
                  </c:pt>
                  <c:pt idx="20" c:formatCode="#,##0.00">
                    <c:v>1003466.19</c:v>
                  </c:pt>
                  <c:pt idx="21" c:formatCode="#,##0.00">
                    <c:v>1031723.19</c:v>
                  </c:pt>
                  <c:pt idx="22" c:formatCode="#,##0.00">
                    <c:v>1148473.19</c:v>
                  </c:pt>
                  <c:pt idx="23" c:formatCode="#,##0.00">
                    <c:v>1028128.38</c:v>
                  </c:pt>
                  <c:pt idx="24" c:formatCode="#,##0.00">
                    <c:v>1028128.38</c:v>
                  </c:pt>
                  <c:pt idx="25" c:formatCode="#,##0.00">
                    <c:v>1205172.56</c:v>
                  </c:pt>
                  <c:pt idx="26" c:formatCode="#,##0.00">
                    <c:v>1225172.56</c:v>
                  </c:pt>
                  <c:pt idx="27" c:formatCode="#,##0.00">
                    <c:v>1147011.45</c:v>
                  </c:pt>
                  <c:pt idx="28" c:formatCode="#,##0.00">
                    <c:v>1065395.45</c:v>
                  </c:pt>
                  <c:pt idx="29" c:formatCode="#,##0.00">
                    <c:v>782049.45</c:v>
                  </c:pt>
                  <c:pt idx="30" c:formatCode="#,##0.00">
                    <c:v>919689.45</c:v>
                  </c:pt>
                  <c:pt idx="31" c:formatCode="#,##0.00">
                    <c:v>909244.45</c:v>
                  </c:pt>
                  <c:pt idx="32" c:formatCode="#,##0.00">
                    <c:v>729549.56</c:v>
                  </c:pt>
                  <c:pt idx="33" c:formatCode="#,##0.00">
                    <c:v>907049.56</c:v>
                  </c:pt>
                  <c:pt idx="34" c:formatCode="#,##0.00">
                    <c:v>875699.56</c:v>
                  </c:pt>
                  <c:pt idx="35" c:formatCode="#,##0.00">
                    <c:v>1043999.56</c:v>
                  </c:pt>
                  <c:pt idx="36" c:formatCode="#,##0.00">
                    <c:v>801375.56</c:v>
                  </c:pt>
                  <c:pt idx="37" c:formatCode="#,##0.00">
                    <c:v>801375.56</c:v>
                  </c:pt>
                  <c:pt idx="38" c:formatCode="#,##0.00">
                    <c:v>833959.56</c:v>
                  </c:pt>
                  <c:pt idx="39" c:formatCode="#,##0.00">
                    <c:v>848959.56</c:v>
                  </c:pt>
                  <c:pt idx="40" c:formatCode="#,##0.00">
                    <c:v>676631.56</c:v>
                  </c:pt>
                  <c:pt idx="41" c:formatCode="#,##0.00">
                    <c:v>831462.56</c:v>
                  </c:pt>
                  <c:pt idx="42" c:formatCode="#,##0.00">
                    <c:v>750191.56</c:v>
                  </c:pt>
                  <c:pt idx="43" c:formatCode="#,##0.00">
                    <c:v>579371.56</c:v>
                  </c:pt>
                  <c:pt idx="44" c:formatCode="#,##0.00">
                    <c:v>579371.56</c:v>
                  </c:pt>
                  <c:pt idx="45" c:formatCode="#,##0.00">
                    <c:v>579371.56</c:v>
                  </c:pt>
                  <c:pt idx="46" c:formatCode="#,##0.00">
                    <c:v>607371.56</c:v>
                  </c:pt>
                  <c:pt idx="47" c:formatCode="#,##0.00">
                    <c:v>664371.56</c:v>
                  </c:pt>
                  <c:pt idx="48" c:formatCode="#,##0.00">
                    <c:v>664371.56</c:v>
                  </c:pt>
                  <c:pt idx="49" c:formatCode="#,##0.00">
                    <c:v>785838.4</c:v>
                  </c:pt>
                  <c:pt idx="50" c:formatCode="#,##0.00">
                    <c:v>1186871.45</c:v>
                  </c:pt>
                  <c:pt idx="51" c:formatCode="#,##0.00">
                    <c:v>1264449.51</c:v>
                  </c:pt>
                  <c:pt idx="52" c:formatCode="#,##0.00">
                    <c:v>1278449.51</c:v>
                  </c:pt>
                  <c:pt idx="53" c:formatCode="#,##0.00">
                    <c:v>1249949.51</c:v>
                  </c:pt>
                  <c:pt idx="54" c:formatCode="#,##0.00">
                    <c:v>1589945.65</c:v>
                  </c:pt>
                  <c:pt idx="55" c:formatCode="#,##0.00">
                    <c:v>1350087.51</c:v>
                  </c:pt>
                  <c:pt idx="56" c:formatCode="#,##0.00">
                    <c:v>1634789.51</c:v>
                  </c:pt>
                  <c:pt idx="57" c:formatCode="#,##0.00">
                    <c:v>1484789.51</c:v>
                  </c:pt>
                  <c:pt idx="58" c:formatCode="#,##0.00">
                    <c:v>1443869.51</c:v>
                  </c:pt>
                  <c:pt idx="59" c:formatCode="#,##0.00">
                    <c:v>1459036.22</c:v>
                  </c:pt>
                  <c:pt idx="60" c:formatCode="#,##0.00">
                    <c:v>1259862.22</c:v>
                  </c:pt>
                  <c:pt idx="61" c:formatCode="#,##0.00">
                    <c:v>1231704.22</c:v>
                  </c:pt>
                  <c:pt idx="62" c:formatCode="#,##0.00">
                    <c:v>1338084.22</c:v>
                  </c:pt>
                  <c:pt idx="63" c:formatCode="#,##0.00">
                    <c:v>1380978.82</c:v>
                  </c:pt>
                  <c:pt idx="64" c:formatCode="#,##0.00">
                    <c:v>1262757.93</c:v>
                  </c:pt>
                  <c:pt idx="65" c:formatCode="#,##0.00">
                    <c:v>1262757.93</c:v>
                  </c:pt>
                  <c:pt idx="66" c:formatCode="#,##0.00">
                    <c:v>1290717.93</c:v>
                  </c:pt>
                  <c:pt idx="67" c:formatCode="#,##0.00">
                    <c:v>1284987.93</c:v>
                  </c:pt>
                  <c:pt idx="68" c:formatCode="#,##0.00">
                    <c:v>1284987.93</c:v>
                  </c:pt>
                  <c:pt idx="69" c:formatCode="#,##0.00">
                    <c:v>1230818.74</c:v>
                  </c:pt>
                  <c:pt idx="70" c:formatCode="#,##0.00">
                    <c:v>1391347.5</c:v>
                  </c:pt>
                  <c:pt idx="71" c:formatCode="#,##0.00">
                    <c:v>1082481.55</c:v>
                  </c:pt>
                  <c:pt idx="72" c:formatCode="#,##0.00">
                    <c:v>1289061.55</c:v>
                  </c:pt>
                  <c:pt idx="73" c:formatCode="#,##0.00">
                    <c:v>1671496.55</c:v>
                  </c:pt>
                  <c:pt idx="74" c:formatCode="#,##0.00">
                    <c:v>2095421.58</c:v>
                  </c:pt>
                  <c:pt idx="75" c:formatCode="#,##0.00">
                    <c:v>2320885.99</c:v>
                  </c:pt>
                  <c:pt idx="76" c:formatCode="#,##0.00">
                    <c:v>1947136.57</c:v>
                  </c:pt>
                  <c:pt idx="77" c:formatCode="#,##0.00">
                    <c:v>2256497.57</c:v>
                  </c:pt>
                  <c:pt idx="78" c:formatCode="#,##0.00">
                    <c:v>2430297.57</c:v>
                  </c:pt>
                  <c:pt idx="79" c:formatCode="#,##0.00">
                    <c:v>2662599.38</c:v>
                  </c:pt>
                  <c:pt idx="80" c:formatCode="#,##0.00">
                    <c:v>2798408.45</c:v>
                  </c:pt>
                  <c:pt idx="81" c:formatCode="#,##0.00">
                    <c:v>2700735.44</c:v>
                  </c:pt>
                  <c:pt idx="82" c:formatCode="#,##0.00">
                    <c:v>2843527.44</c:v>
                  </c:pt>
                  <c:pt idx="83" c:formatCode="#,##0.00">
                    <c:v>3476870.81</c:v>
                  </c:pt>
                  <c:pt idx="84" c:formatCode="#,##0.00">
                    <c:v>3652642.38</c:v>
                  </c:pt>
                  <c:pt idx="85" c:formatCode="#,##0.00">
                    <c:v>3745758.38</c:v>
                  </c:pt>
                  <c:pt idx="86" c:formatCode="#,##0.00">
                    <c:v>3948158.38</c:v>
                  </c:pt>
                  <c:pt idx="87" c:formatCode="#,##0.00">
                    <c:v>4104083.16</c:v>
                  </c:pt>
                  <c:pt idx="88" c:formatCode="#,##0.00">
                    <c:v>4314258.55</c:v>
                  </c:pt>
                  <c:pt idx="89" c:formatCode="#,##0.00">
                    <c:v>4234758.55</c:v>
                  </c:pt>
                </c:lvl>
                <c:lvl>
                  <c:pt idx="0" c:formatCode="dd/mm/yy;@">
                    <c:v>45449</c:v>
                  </c:pt>
                  <c:pt idx="1" c:formatCode="dd/mm/yy;@">
                    <c:v>45456</c:v>
                  </c:pt>
                  <c:pt idx="2" c:formatCode="dd/mm/yy;@">
                    <c:v>45463</c:v>
                  </c:pt>
                  <c:pt idx="3" c:formatCode="dd/mm/yy;@">
                    <c:v>45470</c:v>
                  </c:pt>
                  <c:pt idx="4" c:formatCode="dd/mm/yy;@">
                    <c:v>45477</c:v>
                  </c:pt>
                  <c:pt idx="5" c:formatCode="dd/mm/yy;@">
                    <c:v>45484</c:v>
                  </c:pt>
                  <c:pt idx="6" c:formatCode="dd/mm/yy;@">
                    <c:v>45491</c:v>
                  </c:pt>
                  <c:pt idx="7" c:formatCode="dd/mm/yy;@">
                    <c:v>45498</c:v>
                  </c:pt>
                  <c:pt idx="8" c:formatCode="dd/mm/yy;@">
                    <c:v>45505</c:v>
                  </c:pt>
                  <c:pt idx="9" c:formatCode="dd/mm/yy;@">
                    <c:v>45512</c:v>
                  </c:pt>
                  <c:pt idx="10" c:formatCode="dd/mm/yy;@">
                    <c:v>45519</c:v>
                  </c:pt>
                  <c:pt idx="11" c:formatCode="dd/mm/yy;@">
                    <c:v>45547</c:v>
                  </c:pt>
                  <c:pt idx="12" c:formatCode="dd/mm/yy;@">
                    <c:v>45554</c:v>
                  </c:pt>
                  <c:pt idx="13" c:formatCode="dd/mm/yy;@">
                    <c:v>45561</c:v>
                  </c:pt>
                  <c:pt idx="14" c:formatCode="dd/mm/yy;@">
                    <c:v>45568</c:v>
                  </c:pt>
                  <c:pt idx="15" c:formatCode="dd/mm/yy;@">
                    <c:v>45575</c:v>
                  </c:pt>
                  <c:pt idx="16" c:formatCode="dd/mm/yy;@">
                    <c:v>45582</c:v>
                  </c:pt>
                  <c:pt idx="17" c:formatCode="dd/mm/yy;@">
                    <c:v>45589</c:v>
                  </c:pt>
                  <c:pt idx="18" c:formatCode="dd/mm/yy;@">
                    <c:v>45596</c:v>
                  </c:pt>
                  <c:pt idx="19" c:formatCode="dd/mm/yy;@">
                    <c:v>45603</c:v>
                  </c:pt>
                  <c:pt idx="20" c:formatCode="dd/mm/yy;@">
                    <c:v>45610</c:v>
                  </c:pt>
                  <c:pt idx="21" c:formatCode="dd/mm/yy;@">
                    <c:v>45617</c:v>
                  </c:pt>
                  <c:pt idx="22" c:formatCode="dd/mm/yy;@">
                    <c:v>45624</c:v>
                  </c:pt>
                  <c:pt idx="23" c:formatCode="dd/mm/yy;@">
                    <c:v>45631</c:v>
                  </c:pt>
                  <c:pt idx="24" c:formatCode="dd/mm/yy;@">
                    <c:v>45638</c:v>
                  </c:pt>
                  <c:pt idx="25" c:formatCode="dd/mm/yy;@">
                    <c:v>45645</c:v>
                  </c:pt>
                  <c:pt idx="26" c:formatCode="dd/mm/yy;@">
                    <c:v>45652</c:v>
                  </c:pt>
                  <c:pt idx="27" c:formatCode="dd/mm/yy;@">
                    <c:v>45659</c:v>
                  </c:pt>
                  <c:pt idx="28" c:formatCode="dd/mm/yy;@">
                    <c:v>45666</c:v>
                  </c:pt>
                  <c:pt idx="29" c:formatCode="dd/mm/yy;@">
                    <c:v>45673</c:v>
                  </c:pt>
                  <c:pt idx="30" c:formatCode="dd/mm/yy;@">
                    <c:v>45680</c:v>
                  </c:pt>
                  <c:pt idx="31" c:formatCode="dd/mm/yy;@">
                    <c:v>45687</c:v>
                  </c:pt>
                  <c:pt idx="32" c:formatCode="dd/mm/yy;@">
                    <c:v>45694</c:v>
                  </c:pt>
                  <c:pt idx="33" c:formatCode="dd/mm/yy;@">
                    <c:v>45701</c:v>
                  </c:pt>
                  <c:pt idx="34" c:formatCode="dd/mm/yy;@">
                    <c:v>45708</c:v>
                  </c:pt>
                  <c:pt idx="35" c:formatCode="dd/mm/yy;@">
                    <c:v>45715</c:v>
                  </c:pt>
                  <c:pt idx="36" c:formatCode="dd/mm/yy;@">
                    <c:v>45722</c:v>
                  </c:pt>
                  <c:pt idx="37" c:formatCode="dd/mm/yy;@">
                    <c:v>45730</c:v>
                  </c:pt>
                  <c:pt idx="38" c:formatCode="dd/mm/yy;@">
                    <c:v>45736</c:v>
                  </c:pt>
                  <c:pt idx="39" c:formatCode="dd/mm/yy;@">
                    <c:v>45743</c:v>
                  </c:pt>
                  <c:pt idx="40" c:formatCode="dd/mm/yy;@">
                    <c:v>45750</c:v>
                  </c:pt>
                  <c:pt idx="41" c:formatCode="dd/mm/yy;@">
                    <c:v>45757</c:v>
                  </c:pt>
                  <c:pt idx="42" c:formatCode="dd/mm/yy;@">
                    <c:v>45764</c:v>
                  </c:pt>
                  <c:pt idx="43" c:formatCode="dd/mm/yy;@">
                    <c:v>45771</c:v>
                  </c:pt>
                  <c:pt idx="44" c:formatCode="dd/mm/yy;@">
                    <c:v>45779</c:v>
                  </c:pt>
                  <c:pt idx="45" c:formatCode="dd/mm/yy;@">
                    <c:v>45792</c:v>
                  </c:pt>
                  <c:pt idx="46" c:formatCode="dd/mm/yy;@">
                    <c:v>45799</c:v>
                  </c:pt>
                  <c:pt idx="47" c:formatCode="dd/mm/yy;@">
                    <c:v>45806</c:v>
                  </c:pt>
                  <c:pt idx="48" c:formatCode="dd/mm/yy;@">
                    <c:v>45820</c:v>
                  </c:pt>
                  <c:pt idx="49" c:formatCode="dd/mm/yy;@">
                    <c:v>45827</c:v>
                  </c:pt>
                  <c:pt idx="50" c:formatCode="dd/mm/yy;@">
                    <c:v>45842</c:v>
                  </c:pt>
                  <c:pt idx="51" c:formatCode="dd/mm/yy;@">
                    <c:v>45848</c:v>
                  </c:pt>
                  <c:pt idx="52" c:formatCode="dd/mm/yy;@">
                    <c:v>45856</c:v>
                  </c:pt>
                  <c:pt idx="53" c:formatCode="dd/mm/yy;@">
                    <c:v>45863</c:v>
                  </c:pt>
                  <c:pt idx="54" c:formatCode="dd/mm/yy;@">
                    <c:v>45880</c:v>
                  </c:pt>
                  <c:pt idx="55" c:formatCode="dd/mm/yy;@">
                    <c:v>45891</c:v>
                  </c:pt>
                  <c:pt idx="56" c:formatCode="dd/mm/yy;@">
                    <c:v>45919</c:v>
                  </c:pt>
                  <c:pt idx="57" c:formatCode="dd/mm/yy;@">
                    <c:v>45925</c:v>
                  </c:pt>
                  <c:pt idx="58" c:formatCode="dd/mm/yy;@">
                    <c:v>45933</c:v>
                  </c:pt>
                  <c:pt idx="59" c:formatCode="dd/mm/yy;@">
                    <c:v>45940</c:v>
                  </c:pt>
                  <c:pt idx="60" c:formatCode="dd/mm/yy;@">
                    <c:v>45947</c:v>
                  </c:pt>
                  <c:pt idx="61" c:formatCode="dd/mm/yy;@">
                    <c:v>45952</c:v>
                  </c:pt>
                  <c:pt idx="62" c:formatCode="dd/mm/yy;@">
                    <c:v>45961</c:v>
                  </c:pt>
                  <c:pt idx="63" c:formatCode="dd/mm/yy;@">
                    <c:v>45968</c:v>
                  </c:pt>
                  <c:pt idx="64" c:formatCode="dd/mm/yy;@">
                    <c:v>45975</c:v>
                  </c:pt>
                  <c:pt idx="65" c:formatCode="dd/mm/yy;@">
                    <c:v>45982</c:v>
                  </c:pt>
                  <c:pt idx="66" c:formatCode="dd/mm/yy;@">
                    <c:v>45989</c:v>
                  </c:pt>
                  <c:pt idx="67" c:formatCode="dd/mm/yy;@">
                    <c:v>45996</c:v>
                  </c:pt>
                  <c:pt idx="68" c:formatCode="dd/mm/yy;@">
                    <c:v>46003</c:v>
                  </c:pt>
                  <c:pt idx="69" c:formatCode="dd/mm/yy;@">
                    <c:v>46010</c:v>
                  </c:pt>
                  <c:pt idx="70" c:formatCode="dd/mm/yy;@">
                    <c:v>46016</c:v>
                  </c:pt>
                  <c:pt idx="71" c:formatCode="dd/mm/yy;@">
                    <c:v>46030</c:v>
                  </c:pt>
                  <c:pt idx="72" c:formatCode="dd/mm/yy;@">
                    <c:v>46042</c:v>
                  </c:pt>
                  <c:pt idx="73" c:formatCode="dd/mm/yy;@">
                    <c:v>46051</c:v>
                  </c:pt>
                  <c:pt idx="74" c:formatCode="dd/mm/yy;@">
                    <c:v>46066</c:v>
                  </c:pt>
                  <c:pt idx="75" c:formatCode="dd/mm/yy;@">
                    <c:v>46080</c:v>
                  </c:pt>
                  <c:pt idx="76" c:formatCode="dd/mm/yy;@">
                    <c:v>46087</c:v>
                  </c:pt>
                  <c:pt idx="77" c:formatCode="dd/mm/yy;@">
                    <c:v>46094</c:v>
                  </c:pt>
                  <c:pt idx="78" c:formatCode="dd/mm/yy;@">
                    <c:v>46114</c:v>
                  </c:pt>
                  <c:pt idx="79" c:formatCode="dd/mm/yy;@">
                    <c:v>46125</c:v>
                  </c:pt>
                  <c:pt idx="80" c:formatCode="dd/mm/yy;@">
                    <c:v>46136</c:v>
                  </c:pt>
                  <c:pt idx="81" c:formatCode="dd/mm/yy;@">
                    <c:v>46150</c:v>
                  </c:pt>
                  <c:pt idx="82" c:formatCode="dd/mm/yy;@">
                    <c:v>46157</c:v>
                  </c:pt>
                  <c:pt idx="83" c:formatCode="dd/mm/yy;@">
                    <c:v>46177</c:v>
                  </c:pt>
                  <c:pt idx="84" c:formatCode="dd/mm/yy;@">
                    <c:v>46185</c:v>
                  </c:pt>
                  <c:pt idx="85" c:formatCode="dd/mm/yy;@">
                    <c:v>46192</c:v>
                  </c:pt>
                  <c:pt idx="86" c:formatCode="dd/mm/yy;@">
                    <c:v>46199</c:v>
                  </c:pt>
                  <c:pt idx="87" c:formatCode="dd/mm/yy;@">
                    <c:v>46206</c:v>
                  </c:pt>
                  <c:pt idx="88" c:formatCode="dd/mm/yy;@">
                    <c:v>46213</c:v>
                  </c:pt>
                  <c:pt idx="89" c:formatCode="dd/mm/yy;@">
                    <c:v>46220</c:v>
                  </c:pt>
                </c:lvl>
              </c:multiLvlStrCache>
            </c:multiLvlStrRef>
          </c:cat>
          <c:val>
            <c:numRef>
              <c:f>NAOUFAL!$E$107:$E$196</c:f>
              <c:numCache>
                <c:formatCode>#,##0.00</c:formatCode>
                <c:ptCount val="90"/>
                <c:pt idx="0">
                  <c:v>833139.58</c:v>
                </c:pt>
                <c:pt idx="1">
                  <c:v>715284</c:v>
                </c:pt>
                <c:pt idx="2">
                  <c:v>847444</c:v>
                </c:pt>
                <c:pt idx="3">
                  <c:v>939524</c:v>
                </c:pt>
                <c:pt idx="4">
                  <c:v>805124</c:v>
                </c:pt>
                <c:pt idx="5">
                  <c:v>892744</c:v>
                </c:pt>
                <c:pt idx="6">
                  <c:v>1036344</c:v>
                </c:pt>
                <c:pt idx="7">
                  <c:v>858044</c:v>
                </c:pt>
                <c:pt idx="8">
                  <c:v>1017427.82</c:v>
                </c:pt>
                <c:pt idx="9">
                  <c:v>974274.39</c:v>
                </c:pt>
                <c:pt idx="10">
                  <c:v>1012702.66</c:v>
                </c:pt>
                <c:pt idx="11">
                  <c:v>908831</c:v>
                </c:pt>
                <c:pt idx="12">
                  <c:v>1014173</c:v>
                </c:pt>
                <c:pt idx="13">
                  <c:v>1084173</c:v>
                </c:pt>
                <c:pt idx="14">
                  <c:v>1044893.63</c:v>
                </c:pt>
                <c:pt idx="15">
                  <c:v>1243731.19</c:v>
                </c:pt>
                <c:pt idx="16">
                  <c:v>1181331.19</c:v>
                </c:pt>
                <c:pt idx="17">
                  <c:v>1176268.19</c:v>
                </c:pt>
                <c:pt idx="18">
                  <c:v>1003466.19</c:v>
                </c:pt>
                <c:pt idx="19">
                  <c:v>988466.19</c:v>
                </c:pt>
                <c:pt idx="20">
                  <c:v>1003466.19</c:v>
                </c:pt>
                <c:pt idx="21">
                  <c:v>1031723.19</c:v>
                </c:pt>
                <c:pt idx="22">
                  <c:v>1148473.19</c:v>
                </c:pt>
                <c:pt idx="23">
                  <c:v>1028128.38</c:v>
                </c:pt>
                <c:pt idx="24">
                  <c:v>1028128.38</c:v>
                </c:pt>
                <c:pt idx="25">
                  <c:v>1205172.56</c:v>
                </c:pt>
                <c:pt idx="26">
                  <c:v>1225172.56</c:v>
                </c:pt>
                <c:pt idx="27">
                  <c:v>1147011.45</c:v>
                </c:pt>
                <c:pt idx="28">
                  <c:v>1065395.45</c:v>
                </c:pt>
                <c:pt idx="29">
                  <c:v>782049.45</c:v>
                </c:pt>
                <c:pt idx="30">
                  <c:v>919689.45</c:v>
                </c:pt>
                <c:pt idx="31">
                  <c:v>909244.45</c:v>
                </c:pt>
                <c:pt idx="32">
                  <c:v>729549.56</c:v>
                </c:pt>
                <c:pt idx="33">
                  <c:v>907049.56</c:v>
                </c:pt>
                <c:pt idx="34">
                  <c:v>875699.56</c:v>
                </c:pt>
                <c:pt idx="35">
                  <c:v>1043999.56</c:v>
                </c:pt>
                <c:pt idx="36">
                  <c:v>801375.56</c:v>
                </c:pt>
                <c:pt idx="37">
                  <c:v>801375.56</c:v>
                </c:pt>
                <c:pt idx="38">
                  <c:v>833959.56</c:v>
                </c:pt>
                <c:pt idx="39">
                  <c:v>848959.56</c:v>
                </c:pt>
                <c:pt idx="40">
                  <c:v>676631.56</c:v>
                </c:pt>
                <c:pt idx="41">
                  <c:v>831462.56</c:v>
                </c:pt>
                <c:pt idx="42">
                  <c:v>750191.56</c:v>
                </c:pt>
                <c:pt idx="43">
                  <c:v>579371.56</c:v>
                </c:pt>
                <c:pt idx="44">
                  <c:v>579371.56</c:v>
                </c:pt>
                <c:pt idx="45">
                  <c:v>579371.56</c:v>
                </c:pt>
                <c:pt idx="46">
                  <c:v>607371.56</c:v>
                </c:pt>
                <c:pt idx="47">
                  <c:v>664371.56</c:v>
                </c:pt>
                <c:pt idx="48">
                  <c:v>664371.56</c:v>
                </c:pt>
                <c:pt idx="49">
                  <c:v>785838.4</c:v>
                </c:pt>
                <c:pt idx="50">
                  <c:v>1186871.45</c:v>
                </c:pt>
                <c:pt idx="51">
                  <c:v>1264449.51</c:v>
                </c:pt>
                <c:pt idx="52">
                  <c:v>1278449.51</c:v>
                </c:pt>
                <c:pt idx="53">
                  <c:v>1249949.51</c:v>
                </c:pt>
                <c:pt idx="54">
                  <c:v>1589945.65</c:v>
                </c:pt>
                <c:pt idx="55">
                  <c:v>1350087.51</c:v>
                </c:pt>
                <c:pt idx="56">
                  <c:v>1634789.51</c:v>
                </c:pt>
                <c:pt idx="57">
                  <c:v>1484789.51</c:v>
                </c:pt>
                <c:pt idx="58">
                  <c:v>1443869.51</c:v>
                </c:pt>
                <c:pt idx="59">
                  <c:v>1459036.22</c:v>
                </c:pt>
                <c:pt idx="60">
                  <c:v>1259862.22</c:v>
                </c:pt>
                <c:pt idx="61">
                  <c:v>1231704.22</c:v>
                </c:pt>
                <c:pt idx="62">
                  <c:v>1338084.22</c:v>
                </c:pt>
                <c:pt idx="63">
                  <c:v>1380978.82</c:v>
                </c:pt>
                <c:pt idx="64">
                  <c:v>1262757.93</c:v>
                </c:pt>
                <c:pt idx="65">
                  <c:v>1262757.93</c:v>
                </c:pt>
                <c:pt idx="66">
                  <c:v>1290717.93</c:v>
                </c:pt>
                <c:pt idx="67">
                  <c:v>1284987.93</c:v>
                </c:pt>
                <c:pt idx="68">
                  <c:v>1284987.93</c:v>
                </c:pt>
                <c:pt idx="69">
                  <c:v>1230818.74</c:v>
                </c:pt>
                <c:pt idx="70">
                  <c:v>1391347.5</c:v>
                </c:pt>
                <c:pt idx="71">
                  <c:v>1082481.55</c:v>
                </c:pt>
                <c:pt idx="72">
                  <c:v>1289061.55</c:v>
                </c:pt>
                <c:pt idx="73">
                  <c:v>1671496.55</c:v>
                </c:pt>
                <c:pt idx="74">
                  <c:v>2095421.58</c:v>
                </c:pt>
                <c:pt idx="75">
                  <c:v>2320885.99</c:v>
                </c:pt>
                <c:pt idx="76">
                  <c:v>1947136.57</c:v>
                </c:pt>
                <c:pt idx="77">
                  <c:v>2256497.57</c:v>
                </c:pt>
                <c:pt idx="78">
                  <c:v>2430297.57</c:v>
                </c:pt>
                <c:pt idx="79">
                  <c:v>2662599.38</c:v>
                </c:pt>
                <c:pt idx="80">
                  <c:v>2798408.45</c:v>
                </c:pt>
                <c:pt idx="81">
                  <c:v>2700735.44</c:v>
                </c:pt>
                <c:pt idx="82">
                  <c:v>2843527.44</c:v>
                </c:pt>
                <c:pt idx="83">
                  <c:v>3476870.81</c:v>
                </c:pt>
                <c:pt idx="84">
                  <c:v>3652642.38</c:v>
                </c:pt>
                <c:pt idx="85">
                  <c:v>3745758.38</c:v>
                </c:pt>
                <c:pt idx="86">
                  <c:v>3948158.38</c:v>
                </c:pt>
                <c:pt idx="87">
                  <c:v>4104083.16</c:v>
                </c:pt>
                <c:pt idx="88">
                  <c:v>4314258.55</c:v>
                </c:pt>
                <c:pt idx="89">
                  <c:v>4234758.55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788064"/>
        <c:axId val="457792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NAOUFAL!$D$107:$G$196</c15:sqref>
                        </c15:formulaRef>
                      </c:ext>
                    </c:extLst>
                    <c:multiLvlStrCache>
                      <c:ptCount val="90"/>
                      <c:lvl/>
                      <c:lvl/>
                      <c:lvl>
                        <c:pt idx="0" c:formatCode="#,##0.00">
                          <c:v>833139.58</c:v>
                        </c:pt>
                        <c:pt idx="1" c:formatCode="#,##0.00">
                          <c:v>715284</c:v>
                        </c:pt>
                        <c:pt idx="2" c:formatCode="#,##0.00">
                          <c:v>847444</c:v>
                        </c:pt>
                        <c:pt idx="3" c:formatCode="#,##0.00">
                          <c:v>939524</c:v>
                        </c:pt>
                        <c:pt idx="4" c:formatCode="#,##0.00">
                          <c:v>805124</c:v>
                        </c:pt>
                        <c:pt idx="5" c:formatCode="#,##0.00">
                          <c:v>892744</c:v>
                        </c:pt>
                        <c:pt idx="6" c:formatCode="#,##0.00">
                          <c:v>1036344</c:v>
                        </c:pt>
                        <c:pt idx="7" c:formatCode="#,##0.00">
                          <c:v>858044</c:v>
                        </c:pt>
                        <c:pt idx="8" c:formatCode="#,##0.00">
                          <c:v>1017427.82</c:v>
                        </c:pt>
                        <c:pt idx="9" c:formatCode="#,##0.00">
                          <c:v>974274.39</c:v>
                        </c:pt>
                        <c:pt idx="10" c:formatCode="#,##0.00">
                          <c:v>1012702.66</c:v>
                        </c:pt>
                        <c:pt idx="11" c:formatCode="#,##0.00">
                          <c:v>908831</c:v>
                        </c:pt>
                        <c:pt idx="12" c:formatCode="#,##0.00">
                          <c:v>1014173</c:v>
                        </c:pt>
                        <c:pt idx="13" c:formatCode="#,##0.00">
                          <c:v>1084173</c:v>
                        </c:pt>
                        <c:pt idx="14" c:formatCode="#,##0.00">
                          <c:v>1044893.63</c:v>
                        </c:pt>
                        <c:pt idx="15" c:formatCode="#,##0.00">
                          <c:v>1243731.19</c:v>
                        </c:pt>
                        <c:pt idx="16" c:formatCode="#,##0.00">
                          <c:v>1181331.19</c:v>
                        </c:pt>
                        <c:pt idx="17" c:formatCode="#,##0.00">
                          <c:v>1176268.19</c:v>
                        </c:pt>
                        <c:pt idx="18" c:formatCode="#,##0.00">
                          <c:v>1003466.19</c:v>
                        </c:pt>
                        <c:pt idx="19" c:formatCode="#,##0.00">
                          <c:v>988466.19</c:v>
                        </c:pt>
                        <c:pt idx="20" c:formatCode="#,##0.00">
                          <c:v>1003466.19</c:v>
                        </c:pt>
                        <c:pt idx="21" c:formatCode="#,##0.00">
                          <c:v>1031723.19</c:v>
                        </c:pt>
                        <c:pt idx="22" c:formatCode="#,##0.00">
                          <c:v>1148473.19</c:v>
                        </c:pt>
                        <c:pt idx="23" c:formatCode="#,##0.00">
                          <c:v>1028128.38</c:v>
                        </c:pt>
                        <c:pt idx="24" c:formatCode="#,##0.00">
                          <c:v>1028128.38</c:v>
                        </c:pt>
                        <c:pt idx="25" c:formatCode="#,##0.00">
                          <c:v>1205172.56</c:v>
                        </c:pt>
                        <c:pt idx="26" c:formatCode="#,##0.00">
                          <c:v>1225172.56</c:v>
                        </c:pt>
                        <c:pt idx="27" c:formatCode="#,##0.00">
                          <c:v>1147011.45</c:v>
                        </c:pt>
                        <c:pt idx="28" c:formatCode="#,##0.00">
                          <c:v>1065395.45</c:v>
                        </c:pt>
                        <c:pt idx="29" c:formatCode="#,##0.00">
                          <c:v>782049.45</c:v>
                        </c:pt>
                        <c:pt idx="30" c:formatCode="#,##0.00">
                          <c:v>919689.45</c:v>
                        </c:pt>
                        <c:pt idx="31" c:formatCode="#,##0.00">
                          <c:v>909244.45</c:v>
                        </c:pt>
                        <c:pt idx="32" c:formatCode="#,##0.00">
                          <c:v>729549.56</c:v>
                        </c:pt>
                        <c:pt idx="33" c:formatCode="#,##0.00">
                          <c:v>907049.56</c:v>
                        </c:pt>
                        <c:pt idx="34" c:formatCode="#,##0.00">
                          <c:v>875699.56</c:v>
                        </c:pt>
                        <c:pt idx="35" c:formatCode="#,##0.00">
                          <c:v>1043999.56</c:v>
                        </c:pt>
                        <c:pt idx="36" c:formatCode="#,##0.00">
                          <c:v>801375.56</c:v>
                        </c:pt>
                        <c:pt idx="37" c:formatCode="#,##0.00">
                          <c:v>801375.56</c:v>
                        </c:pt>
                        <c:pt idx="38" c:formatCode="#,##0.00">
                          <c:v>833959.56</c:v>
                        </c:pt>
                        <c:pt idx="39" c:formatCode="#,##0.00">
                          <c:v>848959.56</c:v>
                        </c:pt>
                        <c:pt idx="40" c:formatCode="#,##0.00">
                          <c:v>676631.56</c:v>
                        </c:pt>
                        <c:pt idx="41" c:formatCode="#,##0.00">
                          <c:v>831462.56</c:v>
                        </c:pt>
                        <c:pt idx="42" c:formatCode="#,##0.00">
                          <c:v>750191.56</c:v>
                        </c:pt>
                        <c:pt idx="43" c:formatCode="#,##0.00">
                          <c:v>579371.56</c:v>
                        </c:pt>
                        <c:pt idx="44" c:formatCode="#,##0.00">
                          <c:v>579371.56</c:v>
                        </c:pt>
                        <c:pt idx="45" c:formatCode="#,##0.00">
                          <c:v>579371.56</c:v>
                        </c:pt>
                        <c:pt idx="46" c:formatCode="#,##0.00">
                          <c:v>607371.56</c:v>
                        </c:pt>
                        <c:pt idx="47" c:formatCode="#,##0.00">
                          <c:v>664371.56</c:v>
                        </c:pt>
                        <c:pt idx="48" c:formatCode="#,##0.00">
                          <c:v>664371.56</c:v>
                        </c:pt>
                        <c:pt idx="49" c:formatCode="#,##0.00">
                          <c:v>785838.4</c:v>
                        </c:pt>
                        <c:pt idx="50" c:formatCode="#,##0.00">
                          <c:v>1186871.45</c:v>
                        </c:pt>
                        <c:pt idx="51" c:formatCode="#,##0.00">
                          <c:v>1264449.51</c:v>
                        </c:pt>
                        <c:pt idx="52" c:formatCode="#,##0.00">
                          <c:v>1278449.51</c:v>
                        </c:pt>
                        <c:pt idx="53" c:formatCode="#,##0.00">
                          <c:v>1249949.51</c:v>
                        </c:pt>
                        <c:pt idx="54" c:formatCode="#,##0.00">
                          <c:v>1589945.65</c:v>
                        </c:pt>
                        <c:pt idx="55" c:formatCode="#,##0.00">
                          <c:v>1350087.51</c:v>
                        </c:pt>
                        <c:pt idx="56" c:formatCode="#,##0.00">
                          <c:v>1634789.51</c:v>
                        </c:pt>
                        <c:pt idx="57" c:formatCode="#,##0.00">
                          <c:v>1484789.51</c:v>
                        </c:pt>
                        <c:pt idx="58" c:formatCode="#,##0.00">
                          <c:v>1443869.51</c:v>
                        </c:pt>
                        <c:pt idx="59" c:formatCode="#,##0.00">
                          <c:v>1459036.22</c:v>
                        </c:pt>
                        <c:pt idx="60" c:formatCode="#,##0.00">
                          <c:v>1259862.22</c:v>
                        </c:pt>
                        <c:pt idx="61" c:formatCode="#,##0.00">
                          <c:v>1231704.22</c:v>
                        </c:pt>
                        <c:pt idx="62" c:formatCode="#,##0.00">
                          <c:v>1338084.22</c:v>
                        </c:pt>
                        <c:pt idx="63" c:formatCode="#,##0.00">
                          <c:v>1380978.82</c:v>
                        </c:pt>
                        <c:pt idx="64" c:formatCode="#,##0.00">
                          <c:v>1262757.93</c:v>
                        </c:pt>
                        <c:pt idx="65" c:formatCode="#,##0.00">
                          <c:v>1262757.93</c:v>
                        </c:pt>
                        <c:pt idx="66" c:formatCode="#,##0.00">
                          <c:v>1290717.93</c:v>
                        </c:pt>
                        <c:pt idx="67" c:formatCode="#,##0.00">
                          <c:v>1284987.93</c:v>
                        </c:pt>
                        <c:pt idx="68" c:formatCode="#,##0.00">
                          <c:v>1284987.93</c:v>
                        </c:pt>
                        <c:pt idx="69" c:formatCode="#,##0.00">
                          <c:v>1230818.74</c:v>
                        </c:pt>
                        <c:pt idx="70" c:formatCode="#,##0.00">
                          <c:v>1391347.5</c:v>
                        </c:pt>
                        <c:pt idx="71" c:formatCode="#,##0.00">
                          <c:v>1082481.55</c:v>
                        </c:pt>
                        <c:pt idx="72" c:formatCode="#,##0.00">
                          <c:v>1289061.55</c:v>
                        </c:pt>
                        <c:pt idx="73" c:formatCode="#,##0.00">
                          <c:v>1671496.55</c:v>
                        </c:pt>
                        <c:pt idx="74" c:formatCode="#,##0.00">
                          <c:v>2095421.58</c:v>
                        </c:pt>
                        <c:pt idx="75" c:formatCode="#,##0.00">
                          <c:v>2320885.99</c:v>
                        </c:pt>
                        <c:pt idx="76" c:formatCode="#,##0.00">
                          <c:v>1947136.57</c:v>
                        </c:pt>
                        <c:pt idx="77" c:formatCode="#,##0.00">
                          <c:v>2256497.57</c:v>
                        </c:pt>
                        <c:pt idx="78" c:formatCode="#,##0.00">
                          <c:v>2430297.57</c:v>
                        </c:pt>
                        <c:pt idx="79" c:formatCode="#,##0.00">
                          <c:v>2662599.38</c:v>
                        </c:pt>
                        <c:pt idx="80" c:formatCode="#,##0.00">
                          <c:v>2798408.45</c:v>
                        </c:pt>
                        <c:pt idx="81" c:formatCode="#,##0.00">
                          <c:v>2700735.44</c:v>
                        </c:pt>
                        <c:pt idx="82" c:formatCode="#,##0.00">
                          <c:v>2843527.44</c:v>
                        </c:pt>
                        <c:pt idx="83" c:formatCode="#,##0.00">
                          <c:v>3476870.81</c:v>
                        </c:pt>
                        <c:pt idx="84" c:formatCode="#,##0.00">
                          <c:v>3652642.38</c:v>
                        </c:pt>
                        <c:pt idx="85" c:formatCode="#,##0.00">
                          <c:v>3745758.38</c:v>
                        </c:pt>
                        <c:pt idx="86" c:formatCode="#,##0.00">
                          <c:v>3948158.38</c:v>
                        </c:pt>
                        <c:pt idx="87" c:formatCode="#,##0.00">
                          <c:v>4104083.16</c:v>
                        </c:pt>
                        <c:pt idx="88" c:formatCode="#,##0.00">
                          <c:v>4314258.55</c:v>
                        </c:pt>
                        <c:pt idx="89" c:formatCode="#,##0.00">
                          <c:v>4234758.55</c:v>
                        </c:pt>
                      </c:lvl>
                      <c:lvl>
                        <c:pt idx="0" c:formatCode="dd/mm/yy;@">
                          <c:v>45449</c:v>
                        </c:pt>
                        <c:pt idx="1" c:formatCode="dd/mm/yy;@">
                          <c:v>45456</c:v>
                        </c:pt>
                        <c:pt idx="2" c:formatCode="dd/mm/yy;@">
                          <c:v>45463</c:v>
                        </c:pt>
                        <c:pt idx="3" c:formatCode="dd/mm/yy;@">
                          <c:v>45470</c:v>
                        </c:pt>
                        <c:pt idx="4" c:formatCode="dd/mm/yy;@">
                          <c:v>45477</c:v>
                        </c:pt>
                        <c:pt idx="5" c:formatCode="dd/mm/yy;@">
                          <c:v>45484</c:v>
                        </c:pt>
                        <c:pt idx="6" c:formatCode="dd/mm/yy;@">
                          <c:v>45491</c:v>
                        </c:pt>
                        <c:pt idx="7" c:formatCode="dd/mm/yy;@">
                          <c:v>45498</c:v>
                        </c:pt>
                        <c:pt idx="8" c:formatCode="dd/mm/yy;@">
                          <c:v>45505</c:v>
                        </c:pt>
                        <c:pt idx="9" c:formatCode="dd/mm/yy;@">
                          <c:v>45512</c:v>
                        </c:pt>
                        <c:pt idx="10" c:formatCode="dd/mm/yy;@">
                          <c:v>45519</c:v>
                        </c:pt>
                        <c:pt idx="11" c:formatCode="dd/mm/yy;@">
                          <c:v>45547</c:v>
                        </c:pt>
                        <c:pt idx="12" c:formatCode="dd/mm/yy;@">
                          <c:v>45554</c:v>
                        </c:pt>
                        <c:pt idx="13" c:formatCode="dd/mm/yy;@">
                          <c:v>45561</c:v>
                        </c:pt>
                        <c:pt idx="14" c:formatCode="dd/mm/yy;@">
                          <c:v>45568</c:v>
                        </c:pt>
                        <c:pt idx="15" c:formatCode="dd/mm/yy;@">
                          <c:v>45575</c:v>
                        </c:pt>
                        <c:pt idx="16" c:formatCode="dd/mm/yy;@">
                          <c:v>45582</c:v>
                        </c:pt>
                        <c:pt idx="17" c:formatCode="dd/mm/yy;@">
                          <c:v>45589</c:v>
                        </c:pt>
                        <c:pt idx="18" c:formatCode="dd/mm/yy;@">
                          <c:v>45596</c:v>
                        </c:pt>
                        <c:pt idx="19" c:formatCode="dd/mm/yy;@">
                          <c:v>45603</c:v>
                        </c:pt>
                        <c:pt idx="20" c:formatCode="dd/mm/yy;@">
                          <c:v>45610</c:v>
                        </c:pt>
                        <c:pt idx="21" c:formatCode="dd/mm/yy;@">
                          <c:v>45617</c:v>
                        </c:pt>
                        <c:pt idx="22" c:formatCode="dd/mm/yy;@">
                          <c:v>45624</c:v>
                        </c:pt>
                        <c:pt idx="23" c:formatCode="dd/mm/yy;@">
                          <c:v>45631</c:v>
                        </c:pt>
                        <c:pt idx="24" c:formatCode="dd/mm/yy;@">
                          <c:v>45638</c:v>
                        </c:pt>
                        <c:pt idx="25" c:formatCode="dd/mm/yy;@">
                          <c:v>45645</c:v>
                        </c:pt>
                        <c:pt idx="26" c:formatCode="dd/mm/yy;@">
                          <c:v>45652</c:v>
                        </c:pt>
                        <c:pt idx="27" c:formatCode="dd/mm/yy;@">
                          <c:v>45659</c:v>
                        </c:pt>
                        <c:pt idx="28" c:formatCode="dd/mm/yy;@">
                          <c:v>45666</c:v>
                        </c:pt>
                        <c:pt idx="29" c:formatCode="dd/mm/yy;@">
                          <c:v>45673</c:v>
                        </c:pt>
                        <c:pt idx="30" c:formatCode="dd/mm/yy;@">
                          <c:v>45680</c:v>
                        </c:pt>
                        <c:pt idx="31" c:formatCode="dd/mm/yy;@">
                          <c:v>45687</c:v>
                        </c:pt>
                        <c:pt idx="32" c:formatCode="dd/mm/yy;@">
                          <c:v>45694</c:v>
                        </c:pt>
                        <c:pt idx="33" c:formatCode="dd/mm/yy;@">
                          <c:v>45701</c:v>
                        </c:pt>
                        <c:pt idx="34" c:formatCode="dd/mm/yy;@">
                          <c:v>45708</c:v>
                        </c:pt>
                        <c:pt idx="35" c:formatCode="dd/mm/yy;@">
                          <c:v>45715</c:v>
                        </c:pt>
                        <c:pt idx="36" c:formatCode="dd/mm/yy;@">
                          <c:v>45722</c:v>
                        </c:pt>
                        <c:pt idx="37" c:formatCode="dd/mm/yy;@">
                          <c:v>45730</c:v>
                        </c:pt>
                        <c:pt idx="38" c:formatCode="dd/mm/yy;@">
                          <c:v>45736</c:v>
                        </c:pt>
                        <c:pt idx="39" c:formatCode="dd/mm/yy;@">
                          <c:v>45743</c:v>
                        </c:pt>
                        <c:pt idx="40" c:formatCode="dd/mm/yy;@">
                          <c:v>45750</c:v>
                        </c:pt>
                        <c:pt idx="41" c:formatCode="dd/mm/yy;@">
                          <c:v>45757</c:v>
                        </c:pt>
                        <c:pt idx="42" c:formatCode="dd/mm/yy;@">
                          <c:v>45764</c:v>
                        </c:pt>
                        <c:pt idx="43" c:formatCode="dd/mm/yy;@">
                          <c:v>45771</c:v>
                        </c:pt>
                        <c:pt idx="44" c:formatCode="dd/mm/yy;@">
                          <c:v>45779</c:v>
                        </c:pt>
                        <c:pt idx="45" c:formatCode="dd/mm/yy;@">
                          <c:v>45792</c:v>
                        </c:pt>
                        <c:pt idx="46" c:formatCode="dd/mm/yy;@">
                          <c:v>45799</c:v>
                        </c:pt>
                        <c:pt idx="47" c:formatCode="dd/mm/yy;@">
                          <c:v>45806</c:v>
                        </c:pt>
                        <c:pt idx="48" c:formatCode="dd/mm/yy;@">
                          <c:v>45820</c:v>
                        </c:pt>
                        <c:pt idx="49" c:formatCode="dd/mm/yy;@">
                          <c:v>45827</c:v>
                        </c:pt>
                        <c:pt idx="50" c:formatCode="dd/mm/yy;@">
                          <c:v>45842</c:v>
                        </c:pt>
                        <c:pt idx="51" c:formatCode="dd/mm/yy;@">
                          <c:v>45848</c:v>
                        </c:pt>
                        <c:pt idx="52" c:formatCode="dd/mm/yy;@">
                          <c:v>45856</c:v>
                        </c:pt>
                        <c:pt idx="53" c:formatCode="dd/mm/yy;@">
                          <c:v>45863</c:v>
                        </c:pt>
                        <c:pt idx="54" c:formatCode="dd/mm/yy;@">
                          <c:v>45880</c:v>
                        </c:pt>
                        <c:pt idx="55" c:formatCode="dd/mm/yy;@">
                          <c:v>45891</c:v>
                        </c:pt>
                        <c:pt idx="56" c:formatCode="dd/mm/yy;@">
                          <c:v>45919</c:v>
                        </c:pt>
                        <c:pt idx="57" c:formatCode="dd/mm/yy;@">
                          <c:v>45925</c:v>
                        </c:pt>
                        <c:pt idx="58" c:formatCode="dd/mm/yy;@">
                          <c:v>45933</c:v>
                        </c:pt>
                        <c:pt idx="59" c:formatCode="dd/mm/yy;@">
                          <c:v>45940</c:v>
                        </c:pt>
                        <c:pt idx="60" c:formatCode="dd/mm/yy;@">
                          <c:v>45947</c:v>
                        </c:pt>
                        <c:pt idx="61" c:formatCode="dd/mm/yy;@">
                          <c:v>45952</c:v>
                        </c:pt>
                        <c:pt idx="62" c:formatCode="dd/mm/yy;@">
                          <c:v>45961</c:v>
                        </c:pt>
                        <c:pt idx="63" c:formatCode="dd/mm/yy;@">
                          <c:v>45968</c:v>
                        </c:pt>
                        <c:pt idx="64" c:formatCode="dd/mm/yy;@">
                          <c:v>45975</c:v>
                        </c:pt>
                        <c:pt idx="65" c:formatCode="dd/mm/yy;@">
                          <c:v>45982</c:v>
                        </c:pt>
                        <c:pt idx="66" c:formatCode="dd/mm/yy;@">
                          <c:v>45989</c:v>
                        </c:pt>
                        <c:pt idx="67" c:formatCode="dd/mm/yy;@">
                          <c:v>45996</c:v>
                        </c:pt>
                        <c:pt idx="68" c:formatCode="dd/mm/yy;@">
                          <c:v>46003</c:v>
                        </c:pt>
                        <c:pt idx="69" c:formatCode="dd/mm/yy;@">
                          <c:v>46010</c:v>
                        </c:pt>
                        <c:pt idx="70" c:formatCode="dd/mm/yy;@">
                          <c:v>46016</c:v>
                        </c:pt>
                        <c:pt idx="71" c:formatCode="dd/mm/yy;@">
                          <c:v>46030</c:v>
                        </c:pt>
                        <c:pt idx="72" c:formatCode="dd/mm/yy;@">
                          <c:v>46042</c:v>
                        </c:pt>
                        <c:pt idx="73" c:formatCode="dd/mm/yy;@">
                          <c:v>46051</c:v>
                        </c:pt>
                        <c:pt idx="74" c:formatCode="dd/mm/yy;@">
                          <c:v>46066</c:v>
                        </c:pt>
                        <c:pt idx="75" c:formatCode="dd/mm/yy;@">
                          <c:v>46080</c:v>
                        </c:pt>
                        <c:pt idx="76" c:formatCode="dd/mm/yy;@">
                          <c:v>46087</c:v>
                        </c:pt>
                        <c:pt idx="77" c:formatCode="dd/mm/yy;@">
                          <c:v>46094</c:v>
                        </c:pt>
                        <c:pt idx="78" c:formatCode="dd/mm/yy;@">
                          <c:v>46114</c:v>
                        </c:pt>
                        <c:pt idx="79" c:formatCode="dd/mm/yy;@">
                          <c:v>46125</c:v>
                        </c:pt>
                        <c:pt idx="80" c:formatCode="dd/mm/yy;@">
                          <c:v>46136</c:v>
                        </c:pt>
                        <c:pt idx="81" c:formatCode="dd/mm/yy;@">
                          <c:v>46150</c:v>
                        </c:pt>
                        <c:pt idx="82" c:formatCode="dd/mm/yy;@">
                          <c:v>46157</c:v>
                        </c:pt>
                        <c:pt idx="83" c:formatCode="dd/mm/yy;@">
                          <c:v>46177</c:v>
                        </c:pt>
                        <c:pt idx="84" c:formatCode="dd/mm/yy;@">
                          <c:v>46185</c:v>
                        </c:pt>
                        <c:pt idx="85" c:formatCode="dd/mm/yy;@">
                          <c:v>46192</c:v>
                        </c:pt>
                        <c:pt idx="86" c:formatCode="dd/mm/yy;@">
                          <c:v>46199</c:v>
                        </c:pt>
                        <c:pt idx="87" c:formatCode="dd/mm/yy;@">
                          <c:v>46206</c:v>
                        </c:pt>
                        <c:pt idx="88" c:formatCode="dd/mm/yy;@">
                          <c:v>46213</c:v>
                        </c:pt>
                        <c:pt idx="89" c:formatCode="dd/mm/yy;@">
                          <c:v>46220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NAOUFAL!$D$107:$G$196</c15:sqref>
                        </c15:formulaRef>
                      </c:ext>
                    </c:extLst>
                    <c:multiLvlStrCache>
                      <c:ptCount val="90"/>
                      <c:lvl/>
                      <c:lvl/>
                      <c:lvl>
                        <c:pt idx="0" c:formatCode="#,##0.00">
                          <c:v>833139.58</c:v>
                        </c:pt>
                        <c:pt idx="1" c:formatCode="#,##0.00">
                          <c:v>715284</c:v>
                        </c:pt>
                        <c:pt idx="2" c:formatCode="#,##0.00">
                          <c:v>847444</c:v>
                        </c:pt>
                        <c:pt idx="3" c:formatCode="#,##0.00">
                          <c:v>939524</c:v>
                        </c:pt>
                        <c:pt idx="4" c:formatCode="#,##0.00">
                          <c:v>805124</c:v>
                        </c:pt>
                        <c:pt idx="5" c:formatCode="#,##0.00">
                          <c:v>892744</c:v>
                        </c:pt>
                        <c:pt idx="6" c:formatCode="#,##0.00">
                          <c:v>1036344</c:v>
                        </c:pt>
                        <c:pt idx="7" c:formatCode="#,##0.00">
                          <c:v>858044</c:v>
                        </c:pt>
                        <c:pt idx="8" c:formatCode="#,##0.00">
                          <c:v>1017427.82</c:v>
                        </c:pt>
                        <c:pt idx="9" c:formatCode="#,##0.00">
                          <c:v>974274.39</c:v>
                        </c:pt>
                        <c:pt idx="10" c:formatCode="#,##0.00">
                          <c:v>1012702.66</c:v>
                        </c:pt>
                        <c:pt idx="11" c:formatCode="#,##0.00">
                          <c:v>908831</c:v>
                        </c:pt>
                        <c:pt idx="12" c:formatCode="#,##0.00">
                          <c:v>1014173</c:v>
                        </c:pt>
                        <c:pt idx="13" c:formatCode="#,##0.00">
                          <c:v>1084173</c:v>
                        </c:pt>
                        <c:pt idx="14" c:formatCode="#,##0.00">
                          <c:v>1044893.63</c:v>
                        </c:pt>
                        <c:pt idx="15" c:formatCode="#,##0.00">
                          <c:v>1243731.19</c:v>
                        </c:pt>
                        <c:pt idx="16" c:formatCode="#,##0.00">
                          <c:v>1181331.19</c:v>
                        </c:pt>
                        <c:pt idx="17" c:formatCode="#,##0.00">
                          <c:v>1176268.19</c:v>
                        </c:pt>
                        <c:pt idx="18" c:formatCode="#,##0.00">
                          <c:v>1003466.19</c:v>
                        </c:pt>
                        <c:pt idx="19" c:formatCode="#,##0.00">
                          <c:v>988466.19</c:v>
                        </c:pt>
                        <c:pt idx="20" c:formatCode="#,##0.00">
                          <c:v>1003466.19</c:v>
                        </c:pt>
                        <c:pt idx="21" c:formatCode="#,##0.00">
                          <c:v>1031723.19</c:v>
                        </c:pt>
                        <c:pt idx="22" c:formatCode="#,##0.00">
                          <c:v>1148473.19</c:v>
                        </c:pt>
                        <c:pt idx="23" c:formatCode="#,##0.00">
                          <c:v>1028128.38</c:v>
                        </c:pt>
                        <c:pt idx="24" c:formatCode="#,##0.00">
                          <c:v>1028128.38</c:v>
                        </c:pt>
                        <c:pt idx="25" c:formatCode="#,##0.00">
                          <c:v>1205172.56</c:v>
                        </c:pt>
                        <c:pt idx="26" c:formatCode="#,##0.00">
                          <c:v>1225172.56</c:v>
                        </c:pt>
                        <c:pt idx="27" c:formatCode="#,##0.00">
                          <c:v>1147011.45</c:v>
                        </c:pt>
                        <c:pt idx="28" c:formatCode="#,##0.00">
                          <c:v>1065395.45</c:v>
                        </c:pt>
                        <c:pt idx="29" c:formatCode="#,##0.00">
                          <c:v>782049.45</c:v>
                        </c:pt>
                        <c:pt idx="30" c:formatCode="#,##0.00">
                          <c:v>919689.45</c:v>
                        </c:pt>
                        <c:pt idx="31" c:formatCode="#,##0.00">
                          <c:v>909244.45</c:v>
                        </c:pt>
                        <c:pt idx="32" c:formatCode="#,##0.00">
                          <c:v>729549.56</c:v>
                        </c:pt>
                        <c:pt idx="33" c:formatCode="#,##0.00">
                          <c:v>907049.56</c:v>
                        </c:pt>
                        <c:pt idx="34" c:formatCode="#,##0.00">
                          <c:v>875699.56</c:v>
                        </c:pt>
                        <c:pt idx="35" c:formatCode="#,##0.00">
                          <c:v>1043999.56</c:v>
                        </c:pt>
                        <c:pt idx="36" c:formatCode="#,##0.00">
                          <c:v>801375.56</c:v>
                        </c:pt>
                        <c:pt idx="37" c:formatCode="#,##0.00">
                          <c:v>801375.56</c:v>
                        </c:pt>
                        <c:pt idx="38" c:formatCode="#,##0.00">
                          <c:v>833959.56</c:v>
                        </c:pt>
                        <c:pt idx="39" c:formatCode="#,##0.00">
                          <c:v>848959.56</c:v>
                        </c:pt>
                        <c:pt idx="40" c:formatCode="#,##0.00">
                          <c:v>676631.56</c:v>
                        </c:pt>
                        <c:pt idx="41" c:formatCode="#,##0.00">
                          <c:v>831462.56</c:v>
                        </c:pt>
                        <c:pt idx="42" c:formatCode="#,##0.00">
                          <c:v>750191.56</c:v>
                        </c:pt>
                        <c:pt idx="43" c:formatCode="#,##0.00">
                          <c:v>579371.56</c:v>
                        </c:pt>
                        <c:pt idx="44" c:formatCode="#,##0.00">
                          <c:v>579371.56</c:v>
                        </c:pt>
                        <c:pt idx="45" c:formatCode="#,##0.00">
                          <c:v>579371.56</c:v>
                        </c:pt>
                        <c:pt idx="46" c:formatCode="#,##0.00">
                          <c:v>607371.56</c:v>
                        </c:pt>
                        <c:pt idx="47" c:formatCode="#,##0.00">
                          <c:v>664371.56</c:v>
                        </c:pt>
                        <c:pt idx="48" c:formatCode="#,##0.00">
                          <c:v>664371.56</c:v>
                        </c:pt>
                        <c:pt idx="49" c:formatCode="#,##0.00">
                          <c:v>785838.4</c:v>
                        </c:pt>
                        <c:pt idx="50" c:formatCode="#,##0.00">
                          <c:v>1186871.45</c:v>
                        </c:pt>
                        <c:pt idx="51" c:formatCode="#,##0.00">
                          <c:v>1264449.51</c:v>
                        </c:pt>
                        <c:pt idx="52" c:formatCode="#,##0.00">
                          <c:v>1278449.51</c:v>
                        </c:pt>
                        <c:pt idx="53" c:formatCode="#,##0.00">
                          <c:v>1249949.51</c:v>
                        </c:pt>
                        <c:pt idx="54" c:formatCode="#,##0.00">
                          <c:v>1589945.65</c:v>
                        </c:pt>
                        <c:pt idx="55" c:formatCode="#,##0.00">
                          <c:v>1350087.51</c:v>
                        </c:pt>
                        <c:pt idx="56" c:formatCode="#,##0.00">
                          <c:v>1634789.51</c:v>
                        </c:pt>
                        <c:pt idx="57" c:formatCode="#,##0.00">
                          <c:v>1484789.51</c:v>
                        </c:pt>
                        <c:pt idx="58" c:formatCode="#,##0.00">
                          <c:v>1443869.51</c:v>
                        </c:pt>
                        <c:pt idx="59" c:formatCode="#,##0.00">
                          <c:v>1459036.22</c:v>
                        </c:pt>
                        <c:pt idx="60" c:formatCode="#,##0.00">
                          <c:v>1259862.22</c:v>
                        </c:pt>
                        <c:pt idx="61" c:formatCode="#,##0.00">
                          <c:v>1231704.22</c:v>
                        </c:pt>
                        <c:pt idx="62" c:formatCode="#,##0.00">
                          <c:v>1338084.22</c:v>
                        </c:pt>
                        <c:pt idx="63" c:formatCode="#,##0.00">
                          <c:v>1380978.82</c:v>
                        </c:pt>
                        <c:pt idx="64" c:formatCode="#,##0.00">
                          <c:v>1262757.93</c:v>
                        </c:pt>
                        <c:pt idx="65" c:formatCode="#,##0.00">
                          <c:v>1262757.93</c:v>
                        </c:pt>
                        <c:pt idx="66" c:formatCode="#,##0.00">
                          <c:v>1290717.93</c:v>
                        </c:pt>
                        <c:pt idx="67" c:formatCode="#,##0.00">
                          <c:v>1284987.93</c:v>
                        </c:pt>
                        <c:pt idx="68" c:formatCode="#,##0.00">
                          <c:v>1284987.93</c:v>
                        </c:pt>
                        <c:pt idx="69" c:formatCode="#,##0.00">
                          <c:v>1230818.74</c:v>
                        </c:pt>
                        <c:pt idx="70" c:formatCode="#,##0.00">
                          <c:v>1391347.5</c:v>
                        </c:pt>
                        <c:pt idx="71" c:formatCode="#,##0.00">
                          <c:v>1082481.55</c:v>
                        </c:pt>
                        <c:pt idx="72" c:formatCode="#,##0.00">
                          <c:v>1289061.55</c:v>
                        </c:pt>
                        <c:pt idx="73" c:formatCode="#,##0.00">
                          <c:v>1671496.55</c:v>
                        </c:pt>
                        <c:pt idx="74" c:formatCode="#,##0.00">
                          <c:v>2095421.58</c:v>
                        </c:pt>
                        <c:pt idx="75" c:formatCode="#,##0.00">
                          <c:v>2320885.99</c:v>
                        </c:pt>
                        <c:pt idx="76" c:formatCode="#,##0.00">
                          <c:v>1947136.57</c:v>
                        </c:pt>
                        <c:pt idx="77" c:formatCode="#,##0.00">
                          <c:v>2256497.57</c:v>
                        </c:pt>
                        <c:pt idx="78" c:formatCode="#,##0.00">
                          <c:v>2430297.57</c:v>
                        </c:pt>
                        <c:pt idx="79" c:formatCode="#,##0.00">
                          <c:v>2662599.38</c:v>
                        </c:pt>
                        <c:pt idx="80" c:formatCode="#,##0.00">
                          <c:v>2798408.45</c:v>
                        </c:pt>
                        <c:pt idx="81" c:formatCode="#,##0.00">
                          <c:v>2700735.44</c:v>
                        </c:pt>
                        <c:pt idx="82" c:formatCode="#,##0.00">
                          <c:v>2843527.44</c:v>
                        </c:pt>
                        <c:pt idx="83" c:formatCode="#,##0.00">
                          <c:v>3476870.81</c:v>
                        </c:pt>
                        <c:pt idx="84" c:formatCode="#,##0.00">
                          <c:v>3652642.38</c:v>
                        </c:pt>
                        <c:pt idx="85" c:formatCode="#,##0.00">
                          <c:v>3745758.38</c:v>
                        </c:pt>
                        <c:pt idx="86" c:formatCode="#,##0.00">
                          <c:v>3948158.38</c:v>
                        </c:pt>
                        <c:pt idx="87" c:formatCode="#,##0.00">
                          <c:v>4104083.16</c:v>
                        </c:pt>
                        <c:pt idx="88" c:formatCode="#,##0.00">
                          <c:v>4314258.55</c:v>
                        </c:pt>
                        <c:pt idx="89" c:formatCode="#,##0.00">
                          <c:v>4234758.55</c:v>
                        </c:pt>
                      </c:lvl>
                      <c:lvl>
                        <c:pt idx="0" c:formatCode="dd/mm/yy;@">
                          <c:v>45449</c:v>
                        </c:pt>
                        <c:pt idx="1" c:formatCode="dd/mm/yy;@">
                          <c:v>45456</c:v>
                        </c:pt>
                        <c:pt idx="2" c:formatCode="dd/mm/yy;@">
                          <c:v>45463</c:v>
                        </c:pt>
                        <c:pt idx="3" c:formatCode="dd/mm/yy;@">
                          <c:v>45470</c:v>
                        </c:pt>
                        <c:pt idx="4" c:formatCode="dd/mm/yy;@">
                          <c:v>45477</c:v>
                        </c:pt>
                        <c:pt idx="5" c:formatCode="dd/mm/yy;@">
                          <c:v>45484</c:v>
                        </c:pt>
                        <c:pt idx="6" c:formatCode="dd/mm/yy;@">
                          <c:v>45491</c:v>
                        </c:pt>
                        <c:pt idx="7" c:formatCode="dd/mm/yy;@">
                          <c:v>45498</c:v>
                        </c:pt>
                        <c:pt idx="8" c:formatCode="dd/mm/yy;@">
                          <c:v>45505</c:v>
                        </c:pt>
                        <c:pt idx="9" c:formatCode="dd/mm/yy;@">
                          <c:v>45512</c:v>
                        </c:pt>
                        <c:pt idx="10" c:formatCode="dd/mm/yy;@">
                          <c:v>45519</c:v>
                        </c:pt>
                        <c:pt idx="11" c:formatCode="dd/mm/yy;@">
                          <c:v>45547</c:v>
                        </c:pt>
                        <c:pt idx="12" c:formatCode="dd/mm/yy;@">
                          <c:v>45554</c:v>
                        </c:pt>
                        <c:pt idx="13" c:formatCode="dd/mm/yy;@">
                          <c:v>45561</c:v>
                        </c:pt>
                        <c:pt idx="14" c:formatCode="dd/mm/yy;@">
                          <c:v>45568</c:v>
                        </c:pt>
                        <c:pt idx="15" c:formatCode="dd/mm/yy;@">
                          <c:v>45575</c:v>
                        </c:pt>
                        <c:pt idx="16" c:formatCode="dd/mm/yy;@">
                          <c:v>45582</c:v>
                        </c:pt>
                        <c:pt idx="17" c:formatCode="dd/mm/yy;@">
                          <c:v>45589</c:v>
                        </c:pt>
                        <c:pt idx="18" c:formatCode="dd/mm/yy;@">
                          <c:v>45596</c:v>
                        </c:pt>
                        <c:pt idx="19" c:formatCode="dd/mm/yy;@">
                          <c:v>45603</c:v>
                        </c:pt>
                        <c:pt idx="20" c:formatCode="dd/mm/yy;@">
                          <c:v>45610</c:v>
                        </c:pt>
                        <c:pt idx="21" c:formatCode="dd/mm/yy;@">
                          <c:v>45617</c:v>
                        </c:pt>
                        <c:pt idx="22" c:formatCode="dd/mm/yy;@">
                          <c:v>45624</c:v>
                        </c:pt>
                        <c:pt idx="23" c:formatCode="dd/mm/yy;@">
                          <c:v>45631</c:v>
                        </c:pt>
                        <c:pt idx="24" c:formatCode="dd/mm/yy;@">
                          <c:v>45638</c:v>
                        </c:pt>
                        <c:pt idx="25" c:formatCode="dd/mm/yy;@">
                          <c:v>45645</c:v>
                        </c:pt>
                        <c:pt idx="26" c:formatCode="dd/mm/yy;@">
                          <c:v>45652</c:v>
                        </c:pt>
                        <c:pt idx="27" c:formatCode="dd/mm/yy;@">
                          <c:v>45659</c:v>
                        </c:pt>
                        <c:pt idx="28" c:formatCode="dd/mm/yy;@">
                          <c:v>45666</c:v>
                        </c:pt>
                        <c:pt idx="29" c:formatCode="dd/mm/yy;@">
                          <c:v>45673</c:v>
                        </c:pt>
                        <c:pt idx="30" c:formatCode="dd/mm/yy;@">
                          <c:v>45680</c:v>
                        </c:pt>
                        <c:pt idx="31" c:formatCode="dd/mm/yy;@">
                          <c:v>45687</c:v>
                        </c:pt>
                        <c:pt idx="32" c:formatCode="dd/mm/yy;@">
                          <c:v>45694</c:v>
                        </c:pt>
                        <c:pt idx="33" c:formatCode="dd/mm/yy;@">
                          <c:v>45701</c:v>
                        </c:pt>
                        <c:pt idx="34" c:formatCode="dd/mm/yy;@">
                          <c:v>45708</c:v>
                        </c:pt>
                        <c:pt idx="35" c:formatCode="dd/mm/yy;@">
                          <c:v>45715</c:v>
                        </c:pt>
                        <c:pt idx="36" c:formatCode="dd/mm/yy;@">
                          <c:v>45722</c:v>
                        </c:pt>
                        <c:pt idx="37" c:formatCode="dd/mm/yy;@">
                          <c:v>45730</c:v>
                        </c:pt>
                        <c:pt idx="38" c:formatCode="dd/mm/yy;@">
                          <c:v>45736</c:v>
                        </c:pt>
                        <c:pt idx="39" c:formatCode="dd/mm/yy;@">
                          <c:v>45743</c:v>
                        </c:pt>
                        <c:pt idx="40" c:formatCode="dd/mm/yy;@">
                          <c:v>45750</c:v>
                        </c:pt>
                        <c:pt idx="41" c:formatCode="dd/mm/yy;@">
                          <c:v>45757</c:v>
                        </c:pt>
                        <c:pt idx="42" c:formatCode="dd/mm/yy;@">
                          <c:v>45764</c:v>
                        </c:pt>
                        <c:pt idx="43" c:formatCode="dd/mm/yy;@">
                          <c:v>45771</c:v>
                        </c:pt>
                        <c:pt idx="44" c:formatCode="dd/mm/yy;@">
                          <c:v>45779</c:v>
                        </c:pt>
                        <c:pt idx="45" c:formatCode="dd/mm/yy;@">
                          <c:v>45792</c:v>
                        </c:pt>
                        <c:pt idx="46" c:formatCode="dd/mm/yy;@">
                          <c:v>45799</c:v>
                        </c:pt>
                        <c:pt idx="47" c:formatCode="dd/mm/yy;@">
                          <c:v>45806</c:v>
                        </c:pt>
                        <c:pt idx="48" c:formatCode="dd/mm/yy;@">
                          <c:v>45820</c:v>
                        </c:pt>
                        <c:pt idx="49" c:formatCode="dd/mm/yy;@">
                          <c:v>45827</c:v>
                        </c:pt>
                        <c:pt idx="50" c:formatCode="dd/mm/yy;@">
                          <c:v>45842</c:v>
                        </c:pt>
                        <c:pt idx="51" c:formatCode="dd/mm/yy;@">
                          <c:v>45848</c:v>
                        </c:pt>
                        <c:pt idx="52" c:formatCode="dd/mm/yy;@">
                          <c:v>45856</c:v>
                        </c:pt>
                        <c:pt idx="53" c:formatCode="dd/mm/yy;@">
                          <c:v>45863</c:v>
                        </c:pt>
                        <c:pt idx="54" c:formatCode="dd/mm/yy;@">
                          <c:v>45880</c:v>
                        </c:pt>
                        <c:pt idx="55" c:formatCode="dd/mm/yy;@">
                          <c:v>45891</c:v>
                        </c:pt>
                        <c:pt idx="56" c:formatCode="dd/mm/yy;@">
                          <c:v>45919</c:v>
                        </c:pt>
                        <c:pt idx="57" c:formatCode="dd/mm/yy;@">
                          <c:v>45925</c:v>
                        </c:pt>
                        <c:pt idx="58" c:formatCode="dd/mm/yy;@">
                          <c:v>45933</c:v>
                        </c:pt>
                        <c:pt idx="59" c:formatCode="dd/mm/yy;@">
                          <c:v>45940</c:v>
                        </c:pt>
                        <c:pt idx="60" c:formatCode="dd/mm/yy;@">
                          <c:v>45947</c:v>
                        </c:pt>
                        <c:pt idx="61" c:formatCode="dd/mm/yy;@">
                          <c:v>45952</c:v>
                        </c:pt>
                        <c:pt idx="62" c:formatCode="dd/mm/yy;@">
                          <c:v>45961</c:v>
                        </c:pt>
                        <c:pt idx="63" c:formatCode="dd/mm/yy;@">
                          <c:v>45968</c:v>
                        </c:pt>
                        <c:pt idx="64" c:formatCode="dd/mm/yy;@">
                          <c:v>45975</c:v>
                        </c:pt>
                        <c:pt idx="65" c:formatCode="dd/mm/yy;@">
                          <c:v>45982</c:v>
                        </c:pt>
                        <c:pt idx="66" c:formatCode="dd/mm/yy;@">
                          <c:v>45989</c:v>
                        </c:pt>
                        <c:pt idx="67" c:formatCode="dd/mm/yy;@">
                          <c:v>45996</c:v>
                        </c:pt>
                        <c:pt idx="68" c:formatCode="dd/mm/yy;@">
                          <c:v>46003</c:v>
                        </c:pt>
                        <c:pt idx="69" c:formatCode="dd/mm/yy;@">
                          <c:v>46010</c:v>
                        </c:pt>
                        <c:pt idx="70" c:formatCode="dd/mm/yy;@">
                          <c:v>46016</c:v>
                        </c:pt>
                        <c:pt idx="71" c:formatCode="dd/mm/yy;@">
                          <c:v>46030</c:v>
                        </c:pt>
                        <c:pt idx="72" c:formatCode="dd/mm/yy;@">
                          <c:v>46042</c:v>
                        </c:pt>
                        <c:pt idx="73" c:formatCode="dd/mm/yy;@">
                          <c:v>46051</c:v>
                        </c:pt>
                        <c:pt idx="74" c:formatCode="dd/mm/yy;@">
                          <c:v>46066</c:v>
                        </c:pt>
                        <c:pt idx="75" c:formatCode="dd/mm/yy;@">
                          <c:v>46080</c:v>
                        </c:pt>
                        <c:pt idx="76" c:formatCode="dd/mm/yy;@">
                          <c:v>46087</c:v>
                        </c:pt>
                        <c:pt idx="77" c:formatCode="dd/mm/yy;@">
                          <c:v>46094</c:v>
                        </c:pt>
                        <c:pt idx="78" c:formatCode="dd/mm/yy;@">
                          <c:v>46114</c:v>
                        </c:pt>
                        <c:pt idx="79" c:formatCode="dd/mm/yy;@">
                          <c:v>46125</c:v>
                        </c:pt>
                        <c:pt idx="80" c:formatCode="dd/mm/yy;@">
                          <c:v>46136</c:v>
                        </c:pt>
                        <c:pt idx="81" c:formatCode="dd/mm/yy;@">
                          <c:v>46150</c:v>
                        </c:pt>
                        <c:pt idx="82" c:formatCode="dd/mm/yy;@">
                          <c:v>46157</c:v>
                        </c:pt>
                        <c:pt idx="83" c:formatCode="dd/mm/yy;@">
                          <c:v>46177</c:v>
                        </c:pt>
                        <c:pt idx="84" c:formatCode="dd/mm/yy;@">
                          <c:v>46185</c:v>
                        </c:pt>
                        <c:pt idx="85" c:formatCode="dd/mm/yy;@">
                          <c:v>46192</c:v>
                        </c:pt>
                        <c:pt idx="86" c:formatCode="dd/mm/yy;@">
                          <c:v>46199</c:v>
                        </c:pt>
                        <c:pt idx="87" c:formatCode="dd/mm/yy;@">
                          <c:v>46206</c:v>
                        </c:pt>
                        <c:pt idx="88" c:formatCode="dd/mm/yy;@">
                          <c:v>46213</c:v>
                        </c:pt>
                        <c:pt idx="89" c:formatCode="dd/mm/yy;@">
                          <c:v>46220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45778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792328"/>
        <c:crosses val="autoZero"/>
        <c:auto val="1"/>
        <c:lblAlgn val="ctr"/>
        <c:lblOffset val="100"/>
        <c:noMultiLvlLbl val="1"/>
      </c:catAx>
      <c:valAx>
        <c:axId val="45779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7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fc070f1-2ee3-4d05-91a6-a7d0c23851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IMPAYES FAHD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443321296833"/>
          <c:y val="0.186899766899767"/>
          <c:w val="0.873576849031446"/>
          <c:h val="0.4910617990932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FAHD!$D$74:$D$162</c:f>
              <c:numCache>
                <c:formatCode>dd/mm/yy;@</c:formatCode>
                <c:ptCount val="89"/>
                <c:pt idx="0" c:formatCode="dd/mm/yy;@">
                  <c:v>45456</c:v>
                </c:pt>
                <c:pt idx="1" c:formatCode="dd/mm/yy;@">
                  <c:v>45463</c:v>
                </c:pt>
                <c:pt idx="2" c:formatCode="dd/mm/yy;@">
                  <c:v>45470</c:v>
                </c:pt>
                <c:pt idx="3" c:formatCode="dd/mm/yy;@">
                  <c:v>45477</c:v>
                </c:pt>
                <c:pt idx="4" c:formatCode="dd/mm/yy;@">
                  <c:v>45484</c:v>
                </c:pt>
                <c:pt idx="5" c:formatCode="dd/mm/yy;@">
                  <c:v>45491</c:v>
                </c:pt>
                <c:pt idx="6" c:formatCode="dd/mm/yy;@">
                  <c:v>45498</c:v>
                </c:pt>
                <c:pt idx="7" c:formatCode="dd/mm/yy;@">
                  <c:v>45505</c:v>
                </c:pt>
                <c:pt idx="8" c:formatCode="dd/mm/yy;@">
                  <c:v>45512</c:v>
                </c:pt>
                <c:pt idx="9" c:formatCode="dd/mm/yy;@">
                  <c:v>45519</c:v>
                </c:pt>
                <c:pt idx="10" c:formatCode="dd/mm/yy;@">
                  <c:v>45547</c:v>
                </c:pt>
                <c:pt idx="11" c:formatCode="dd/mm/yy;@">
                  <c:v>45554</c:v>
                </c:pt>
                <c:pt idx="12" c:formatCode="dd/mm/yy;@">
                  <c:v>45561</c:v>
                </c:pt>
                <c:pt idx="13" c:formatCode="dd/mm/yy;@">
                  <c:v>45568</c:v>
                </c:pt>
                <c:pt idx="14" c:formatCode="dd/mm/yy;@">
                  <c:v>45575</c:v>
                </c:pt>
                <c:pt idx="15" c:formatCode="dd/mm/yy;@">
                  <c:v>45582</c:v>
                </c:pt>
                <c:pt idx="16" c:formatCode="dd/mm/yy;@">
                  <c:v>45589</c:v>
                </c:pt>
                <c:pt idx="17" c:formatCode="dd/mm/yy;@">
                  <c:v>45596</c:v>
                </c:pt>
                <c:pt idx="18" c:formatCode="dd/mm/yy;@">
                  <c:v>45603</c:v>
                </c:pt>
                <c:pt idx="19" c:formatCode="dd/mm/yy;@">
                  <c:v>45610</c:v>
                </c:pt>
                <c:pt idx="20" c:formatCode="dd/mm/yy;@">
                  <c:v>45617</c:v>
                </c:pt>
                <c:pt idx="21" c:formatCode="dd/mm/yy;@">
                  <c:v>45624</c:v>
                </c:pt>
                <c:pt idx="22" c:formatCode="dd/mm/yy;@">
                  <c:v>45631</c:v>
                </c:pt>
                <c:pt idx="23" c:formatCode="dd/mm/yy;@">
                  <c:v>45638</c:v>
                </c:pt>
                <c:pt idx="24" c:formatCode="dd/mm/yy;@">
                  <c:v>45645</c:v>
                </c:pt>
                <c:pt idx="25" c:formatCode="dd/mm/yy;@">
                  <c:v>45652</c:v>
                </c:pt>
                <c:pt idx="26" c:formatCode="dd/mm/yy;@">
                  <c:v>45659</c:v>
                </c:pt>
                <c:pt idx="27" c:formatCode="dd/mm/yy;@">
                  <c:v>45666</c:v>
                </c:pt>
                <c:pt idx="28" c:formatCode="dd/mm/yy;@">
                  <c:v>45673</c:v>
                </c:pt>
                <c:pt idx="29" c:formatCode="dd/mm/yy;@">
                  <c:v>45680</c:v>
                </c:pt>
                <c:pt idx="30" c:formatCode="dd/mm/yy;@">
                  <c:v>45687</c:v>
                </c:pt>
                <c:pt idx="31" c:formatCode="dd/mm/yy;@">
                  <c:v>45694</c:v>
                </c:pt>
                <c:pt idx="32" c:formatCode="dd/mm/yy;@">
                  <c:v>45701</c:v>
                </c:pt>
                <c:pt idx="33" c:formatCode="dd/mm/yy;@">
                  <c:v>45708</c:v>
                </c:pt>
                <c:pt idx="34" c:formatCode="dd/mm/yy;@">
                  <c:v>45715</c:v>
                </c:pt>
                <c:pt idx="35" c:formatCode="dd/mm/yy;@">
                  <c:v>45722</c:v>
                </c:pt>
                <c:pt idx="36" c:formatCode="dd/mm/yy;@">
                  <c:v>45730</c:v>
                </c:pt>
                <c:pt idx="37" c:formatCode="dd/mm/yy;@">
                  <c:v>45736</c:v>
                </c:pt>
                <c:pt idx="38" c:formatCode="dd/mm/yy;@">
                  <c:v>45742</c:v>
                </c:pt>
                <c:pt idx="39" c:formatCode="dd/mm/yy;@">
                  <c:v>45750</c:v>
                </c:pt>
                <c:pt idx="40" c:formatCode="dd/mm/yy;@">
                  <c:v>45757</c:v>
                </c:pt>
                <c:pt idx="41" c:formatCode="dd/mm/yy;@">
                  <c:v>45764</c:v>
                </c:pt>
                <c:pt idx="42" c:formatCode="dd/mm/yy;@">
                  <c:v>45771</c:v>
                </c:pt>
                <c:pt idx="43" c:formatCode="dd/mm/yy;@">
                  <c:v>45779</c:v>
                </c:pt>
                <c:pt idx="44" c:formatCode="dd/mm/yy;@">
                  <c:v>45792</c:v>
                </c:pt>
                <c:pt idx="45" c:formatCode="dd/mm/yy;@">
                  <c:v>45799</c:v>
                </c:pt>
                <c:pt idx="46" c:formatCode="dd/mm/yy;@">
                  <c:v>45806</c:v>
                </c:pt>
                <c:pt idx="47" c:formatCode="dd/mm/yy;@">
                  <c:v>45820</c:v>
                </c:pt>
                <c:pt idx="48" c:formatCode="dd/mm/yy;@">
                  <c:v>45827</c:v>
                </c:pt>
                <c:pt idx="49" c:formatCode="dd/mm/yy;@">
                  <c:v>45842</c:v>
                </c:pt>
                <c:pt idx="50" c:formatCode="dd/mm/yyyy">
                  <c:v>45848</c:v>
                </c:pt>
                <c:pt idx="51" c:formatCode="dd/mm/yy;@">
                  <c:v>45856</c:v>
                </c:pt>
                <c:pt idx="52" c:formatCode="dd/mm/yy;@">
                  <c:v>45863</c:v>
                </c:pt>
                <c:pt idx="53" c:formatCode="dd/mm/yy;@">
                  <c:v>45880</c:v>
                </c:pt>
                <c:pt idx="54" c:formatCode="dd/mm/yy;@">
                  <c:v>45891</c:v>
                </c:pt>
                <c:pt idx="55" c:formatCode="dd/mm/yy;@">
                  <c:v>45919</c:v>
                </c:pt>
                <c:pt idx="56" c:formatCode="dd/mm/yy;@">
                  <c:v>45925</c:v>
                </c:pt>
                <c:pt idx="57" c:formatCode="dd/mm/yy;@">
                  <c:v>45933</c:v>
                </c:pt>
                <c:pt idx="58" c:formatCode="dd/mm/yy;@">
                  <c:v>45940</c:v>
                </c:pt>
                <c:pt idx="59" c:formatCode="dd/mm/yy;@">
                  <c:v>45947</c:v>
                </c:pt>
                <c:pt idx="60" c:formatCode="dd/mm/yy;@">
                  <c:v>45952</c:v>
                </c:pt>
                <c:pt idx="61" c:formatCode="dd/mm/yy;@">
                  <c:v>45961</c:v>
                </c:pt>
                <c:pt idx="62" c:formatCode="dd/mm/yy;@">
                  <c:v>45968</c:v>
                </c:pt>
                <c:pt idx="63" c:formatCode="dd/mm/yy;@">
                  <c:v>45975</c:v>
                </c:pt>
                <c:pt idx="64" c:formatCode="dd/mm/yy;@">
                  <c:v>45982</c:v>
                </c:pt>
                <c:pt idx="65" c:formatCode="dd/mm/yy;@">
                  <c:v>45989</c:v>
                </c:pt>
                <c:pt idx="66" c:formatCode="dd/mm/yy;@">
                  <c:v>45996</c:v>
                </c:pt>
                <c:pt idx="67" c:formatCode="dd/mm/yy;@">
                  <c:v>46003</c:v>
                </c:pt>
                <c:pt idx="68" c:formatCode="dd/mm/yy;@">
                  <c:v>46010</c:v>
                </c:pt>
                <c:pt idx="69" c:formatCode="dd/mm/yy;@">
                  <c:v>46017</c:v>
                </c:pt>
                <c:pt idx="70" c:formatCode="dd/mm/yy;@">
                  <c:v>46030</c:v>
                </c:pt>
                <c:pt idx="71" c:formatCode="dd/mm/yy;@">
                  <c:v>46042</c:v>
                </c:pt>
                <c:pt idx="72" c:formatCode="dd/mm/yy;@">
                  <c:v>46051</c:v>
                </c:pt>
                <c:pt idx="73" c:formatCode="dd/mm/yy;@">
                  <c:v>46066</c:v>
                </c:pt>
                <c:pt idx="74" c:formatCode="dd/mm/yy;@">
                  <c:v>46080</c:v>
                </c:pt>
                <c:pt idx="75" c:formatCode="dd/mm/yy;@">
                  <c:v>46087</c:v>
                </c:pt>
                <c:pt idx="76" c:formatCode="dd/mm/yy;@">
                  <c:v>46094</c:v>
                </c:pt>
                <c:pt idx="77" c:formatCode="dd/mm/yy;@">
                  <c:v>46114</c:v>
                </c:pt>
                <c:pt idx="78" c:formatCode="dd/mm/yy;@">
                  <c:v>46125</c:v>
                </c:pt>
                <c:pt idx="79" c:formatCode="dd/mm/yy;@">
                  <c:v>46136</c:v>
                </c:pt>
                <c:pt idx="80" c:formatCode="dd/mm/yy;@">
                  <c:v>46150</c:v>
                </c:pt>
                <c:pt idx="81" c:formatCode="dd/mm/yy;@">
                  <c:v>46157</c:v>
                </c:pt>
                <c:pt idx="82" c:formatCode="dd/mm/yy;@">
                  <c:v>46177</c:v>
                </c:pt>
                <c:pt idx="83" c:formatCode="dd/mm/yy;@">
                  <c:v>46185</c:v>
                </c:pt>
                <c:pt idx="84" c:formatCode="dd/mm/yy;@">
                  <c:v>46192</c:v>
                </c:pt>
                <c:pt idx="85" c:formatCode="dd/mm/yy;@">
                  <c:v>46199</c:v>
                </c:pt>
                <c:pt idx="86" c:formatCode="dd/mm/yy;@">
                  <c:v>46206</c:v>
                </c:pt>
                <c:pt idx="87" c:formatCode="dd/mm/yy;@">
                  <c:v>46213</c:v>
                </c:pt>
                <c:pt idx="88" c:formatCode="dd/mm/yy;@">
                  <c:v>46220</c:v>
                </c:pt>
              </c:numCache>
            </c:numRef>
          </c:cat>
          <c:val>
            <c:numRef>
              <c:f>FAHD!$E$74:$E$162</c:f>
              <c:numCache>
                <c:formatCode>#,##0.00</c:formatCode>
                <c:ptCount val="89"/>
                <c:pt idx="0">
                  <c:v>549022.52</c:v>
                </c:pt>
                <c:pt idx="1">
                  <c:v>591883.18</c:v>
                </c:pt>
                <c:pt idx="2">
                  <c:v>637762.93</c:v>
                </c:pt>
                <c:pt idx="3">
                  <c:v>633803.24</c:v>
                </c:pt>
                <c:pt idx="4">
                  <c:v>768157.94</c:v>
                </c:pt>
                <c:pt idx="5">
                  <c:v>669842</c:v>
                </c:pt>
                <c:pt idx="6">
                  <c:v>669842</c:v>
                </c:pt>
                <c:pt idx="7">
                  <c:v>553561.28</c:v>
                </c:pt>
                <c:pt idx="8">
                  <c:v>633635.17</c:v>
                </c:pt>
                <c:pt idx="9">
                  <c:v>564161.28</c:v>
                </c:pt>
                <c:pt idx="10">
                  <c:v>646322.93</c:v>
                </c:pt>
                <c:pt idx="11">
                  <c:v>551242.21</c:v>
                </c:pt>
                <c:pt idx="12">
                  <c:v>585081.21</c:v>
                </c:pt>
                <c:pt idx="13">
                  <c:v>600082.21</c:v>
                </c:pt>
                <c:pt idx="14">
                  <c:v>392917.51</c:v>
                </c:pt>
                <c:pt idx="15">
                  <c:v>434370.09</c:v>
                </c:pt>
                <c:pt idx="16">
                  <c:v>350642.67</c:v>
                </c:pt>
                <c:pt idx="17">
                  <c:v>463227.58</c:v>
                </c:pt>
                <c:pt idx="18">
                  <c:v>428345.7</c:v>
                </c:pt>
                <c:pt idx="19">
                  <c:v>424065.7</c:v>
                </c:pt>
                <c:pt idx="20">
                  <c:v>568231.7</c:v>
                </c:pt>
                <c:pt idx="21">
                  <c:v>653977.09</c:v>
                </c:pt>
                <c:pt idx="22">
                  <c:v>470910.97</c:v>
                </c:pt>
                <c:pt idx="23">
                  <c:v>357876.7</c:v>
                </c:pt>
                <c:pt idx="24">
                  <c:v>447246.93</c:v>
                </c:pt>
                <c:pt idx="25">
                  <c:v>500392.93</c:v>
                </c:pt>
                <c:pt idx="26">
                  <c:v>550692.06</c:v>
                </c:pt>
                <c:pt idx="27">
                  <c:v>715769.48</c:v>
                </c:pt>
                <c:pt idx="28">
                  <c:v>690069.48</c:v>
                </c:pt>
                <c:pt idx="29">
                  <c:v>718509.48</c:v>
                </c:pt>
                <c:pt idx="30">
                  <c:v>689378.32</c:v>
                </c:pt>
                <c:pt idx="31">
                  <c:v>737560.32</c:v>
                </c:pt>
                <c:pt idx="32">
                  <c:v>836522.09</c:v>
                </c:pt>
                <c:pt idx="33">
                  <c:v>1019149.34</c:v>
                </c:pt>
                <c:pt idx="34">
                  <c:v>951964.75</c:v>
                </c:pt>
                <c:pt idx="35">
                  <c:v>1005380.75</c:v>
                </c:pt>
                <c:pt idx="36">
                  <c:v>1063470.75</c:v>
                </c:pt>
                <c:pt idx="37">
                  <c:v>1153889.72</c:v>
                </c:pt>
                <c:pt idx="38">
                  <c:v>877555.57</c:v>
                </c:pt>
                <c:pt idx="39">
                  <c:v>877555.57</c:v>
                </c:pt>
                <c:pt idx="40">
                  <c:v>738478.51</c:v>
                </c:pt>
                <c:pt idx="41">
                  <c:v>771804.15</c:v>
                </c:pt>
                <c:pt idx="42">
                  <c:v>729980.15</c:v>
                </c:pt>
                <c:pt idx="43">
                  <c:v>830394.9</c:v>
                </c:pt>
                <c:pt idx="44">
                  <c:v>681793.15</c:v>
                </c:pt>
                <c:pt idx="45">
                  <c:v>795123.15</c:v>
                </c:pt>
                <c:pt idx="46">
                  <c:v>1071082.12</c:v>
                </c:pt>
                <c:pt idx="47">
                  <c:v>1127959.16</c:v>
                </c:pt>
                <c:pt idx="48">
                  <c:v>1367241.68</c:v>
                </c:pt>
                <c:pt idx="49">
                  <c:v>1079109.39</c:v>
                </c:pt>
                <c:pt idx="50">
                  <c:v>1032860.05</c:v>
                </c:pt>
                <c:pt idx="51">
                  <c:v>1165527.18</c:v>
                </c:pt>
                <c:pt idx="52">
                  <c:v>1323987.84</c:v>
                </c:pt>
                <c:pt idx="53">
                  <c:v>1492163.06</c:v>
                </c:pt>
                <c:pt idx="54">
                  <c:v>1368715.32</c:v>
                </c:pt>
                <c:pt idx="55">
                  <c:v>1354304.34</c:v>
                </c:pt>
                <c:pt idx="56">
                  <c:v>1386788.2</c:v>
                </c:pt>
                <c:pt idx="57">
                  <c:v>1288438.2</c:v>
                </c:pt>
                <c:pt idx="58">
                  <c:v>1031787.55</c:v>
                </c:pt>
                <c:pt idx="59">
                  <c:v>842987.55</c:v>
                </c:pt>
                <c:pt idx="60">
                  <c:v>842987.55</c:v>
                </c:pt>
                <c:pt idx="61">
                  <c:v>967703.03</c:v>
                </c:pt>
                <c:pt idx="62">
                  <c:v>967703.03</c:v>
                </c:pt>
                <c:pt idx="63">
                  <c:v>745666.57</c:v>
                </c:pt>
                <c:pt idx="64">
                  <c:v>673166.57</c:v>
                </c:pt>
                <c:pt idx="65">
                  <c:v>616711.57</c:v>
                </c:pt>
                <c:pt idx="66">
                  <c:v>829619.45</c:v>
                </c:pt>
                <c:pt idx="67">
                  <c:v>966865.71</c:v>
                </c:pt>
                <c:pt idx="68">
                  <c:v>1055391.91</c:v>
                </c:pt>
                <c:pt idx="69">
                  <c:v>1260663.08</c:v>
                </c:pt>
                <c:pt idx="70">
                  <c:v>1602845.35</c:v>
                </c:pt>
                <c:pt idx="71">
                  <c:v>1484695.82</c:v>
                </c:pt>
                <c:pt idx="72">
                  <c:v>1423448.99</c:v>
                </c:pt>
                <c:pt idx="73" c:formatCode="General">
                  <c:v>1774504.73</c:v>
                </c:pt>
                <c:pt idx="74">
                  <c:v>1694693.98</c:v>
                </c:pt>
                <c:pt idx="75">
                  <c:v>1634826.57</c:v>
                </c:pt>
                <c:pt idx="76">
                  <c:v>1701075.67</c:v>
                </c:pt>
                <c:pt idx="77">
                  <c:v>2430297.57</c:v>
                </c:pt>
                <c:pt idx="78">
                  <c:v>1788502.42</c:v>
                </c:pt>
                <c:pt idx="79">
                  <c:v>1747474.04</c:v>
                </c:pt>
                <c:pt idx="80">
                  <c:v>2013365.7</c:v>
                </c:pt>
                <c:pt idx="81">
                  <c:v>2037252.72</c:v>
                </c:pt>
                <c:pt idx="82">
                  <c:v>2345877.18</c:v>
                </c:pt>
                <c:pt idx="83">
                  <c:v>2440177.57</c:v>
                </c:pt>
                <c:pt idx="84">
                  <c:v>2387251.36</c:v>
                </c:pt>
                <c:pt idx="85">
                  <c:v>2366430.36</c:v>
                </c:pt>
                <c:pt idx="86">
                  <c:v>2282128.49</c:v>
                </c:pt>
                <c:pt idx="87">
                  <c:v>2199451.1</c:v>
                </c:pt>
                <c:pt idx="88">
                  <c:v>2269002.08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658248"/>
        <c:axId val="62765988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FAHD!$D$74:$D$162</c15:sqref>
                        </c15:formulaRef>
                      </c:ext>
                    </c:extLst>
                    <c:numCache>
                      <c:formatCode>dd/mm/yy;@</c:formatCode>
                      <c:ptCount val="89"/>
                      <c:pt idx="0" c:formatCode="dd/mm/yy;@">
                        <c:v>45456</c:v>
                      </c:pt>
                      <c:pt idx="1" c:formatCode="dd/mm/yy;@">
                        <c:v>45463</c:v>
                      </c:pt>
                      <c:pt idx="2" c:formatCode="dd/mm/yy;@">
                        <c:v>45470</c:v>
                      </c:pt>
                      <c:pt idx="3" c:formatCode="dd/mm/yy;@">
                        <c:v>45477</c:v>
                      </c:pt>
                      <c:pt idx="4" c:formatCode="dd/mm/yy;@">
                        <c:v>45484</c:v>
                      </c:pt>
                      <c:pt idx="5" c:formatCode="dd/mm/yy;@">
                        <c:v>45491</c:v>
                      </c:pt>
                      <c:pt idx="6" c:formatCode="dd/mm/yy;@">
                        <c:v>45498</c:v>
                      </c:pt>
                      <c:pt idx="7" c:formatCode="dd/mm/yy;@">
                        <c:v>45505</c:v>
                      </c:pt>
                      <c:pt idx="8" c:formatCode="dd/mm/yy;@">
                        <c:v>45512</c:v>
                      </c:pt>
                      <c:pt idx="9" c:formatCode="dd/mm/yy;@">
                        <c:v>45519</c:v>
                      </c:pt>
                      <c:pt idx="10" c:formatCode="dd/mm/yy;@">
                        <c:v>45547</c:v>
                      </c:pt>
                      <c:pt idx="11" c:formatCode="dd/mm/yy;@">
                        <c:v>45554</c:v>
                      </c:pt>
                      <c:pt idx="12" c:formatCode="dd/mm/yy;@">
                        <c:v>45561</c:v>
                      </c:pt>
                      <c:pt idx="13" c:formatCode="dd/mm/yy;@">
                        <c:v>45568</c:v>
                      </c:pt>
                      <c:pt idx="14" c:formatCode="dd/mm/yy;@">
                        <c:v>45575</c:v>
                      </c:pt>
                      <c:pt idx="15" c:formatCode="dd/mm/yy;@">
                        <c:v>45582</c:v>
                      </c:pt>
                      <c:pt idx="16" c:formatCode="dd/mm/yy;@">
                        <c:v>45589</c:v>
                      </c:pt>
                      <c:pt idx="17" c:formatCode="dd/mm/yy;@">
                        <c:v>45596</c:v>
                      </c:pt>
                      <c:pt idx="18" c:formatCode="dd/mm/yy;@">
                        <c:v>45603</c:v>
                      </c:pt>
                      <c:pt idx="19" c:formatCode="dd/mm/yy;@">
                        <c:v>45610</c:v>
                      </c:pt>
                      <c:pt idx="20" c:formatCode="dd/mm/yy;@">
                        <c:v>45617</c:v>
                      </c:pt>
                      <c:pt idx="21" c:formatCode="dd/mm/yy;@">
                        <c:v>45624</c:v>
                      </c:pt>
                      <c:pt idx="22" c:formatCode="dd/mm/yy;@">
                        <c:v>45631</c:v>
                      </c:pt>
                      <c:pt idx="23" c:formatCode="dd/mm/yy;@">
                        <c:v>45638</c:v>
                      </c:pt>
                      <c:pt idx="24" c:formatCode="dd/mm/yy;@">
                        <c:v>45645</c:v>
                      </c:pt>
                      <c:pt idx="25" c:formatCode="dd/mm/yy;@">
                        <c:v>45652</c:v>
                      </c:pt>
                      <c:pt idx="26" c:formatCode="dd/mm/yy;@">
                        <c:v>45659</c:v>
                      </c:pt>
                      <c:pt idx="27" c:formatCode="dd/mm/yy;@">
                        <c:v>45666</c:v>
                      </c:pt>
                      <c:pt idx="28" c:formatCode="dd/mm/yy;@">
                        <c:v>45673</c:v>
                      </c:pt>
                      <c:pt idx="29" c:formatCode="dd/mm/yy;@">
                        <c:v>45680</c:v>
                      </c:pt>
                      <c:pt idx="30" c:formatCode="dd/mm/yy;@">
                        <c:v>45687</c:v>
                      </c:pt>
                      <c:pt idx="31" c:formatCode="dd/mm/yy;@">
                        <c:v>45694</c:v>
                      </c:pt>
                      <c:pt idx="32" c:formatCode="dd/mm/yy;@">
                        <c:v>45701</c:v>
                      </c:pt>
                      <c:pt idx="33" c:formatCode="dd/mm/yy;@">
                        <c:v>45708</c:v>
                      </c:pt>
                      <c:pt idx="34" c:formatCode="dd/mm/yy;@">
                        <c:v>45715</c:v>
                      </c:pt>
                      <c:pt idx="35" c:formatCode="dd/mm/yy;@">
                        <c:v>45722</c:v>
                      </c:pt>
                      <c:pt idx="36" c:formatCode="dd/mm/yy;@">
                        <c:v>45730</c:v>
                      </c:pt>
                      <c:pt idx="37" c:formatCode="dd/mm/yy;@">
                        <c:v>45736</c:v>
                      </c:pt>
                      <c:pt idx="38" c:formatCode="dd/mm/yy;@">
                        <c:v>45742</c:v>
                      </c:pt>
                      <c:pt idx="39" c:formatCode="dd/mm/yy;@">
                        <c:v>45750</c:v>
                      </c:pt>
                      <c:pt idx="40" c:formatCode="dd/mm/yy;@">
                        <c:v>45757</c:v>
                      </c:pt>
                      <c:pt idx="41" c:formatCode="dd/mm/yy;@">
                        <c:v>45764</c:v>
                      </c:pt>
                      <c:pt idx="42" c:formatCode="dd/mm/yy;@">
                        <c:v>45771</c:v>
                      </c:pt>
                      <c:pt idx="43" c:formatCode="dd/mm/yy;@">
                        <c:v>45779</c:v>
                      </c:pt>
                      <c:pt idx="44" c:formatCode="dd/mm/yy;@">
                        <c:v>45792</c:v>
                      </c:pt>
                      <c:pt idx="45" c:formatCode="dd/mm/yy;@">
                        <c:v>45799</c:v>
                      </c:pt>
                      <c:pt idx="46" c:formatCode="dd/mm/yy;@">
                        <c:v>45806</c:v>
                      </c:pt>
                      <c:pt idx="47" c:formatCode="dd/mm/yy;@">
                        <c:v>45820</c:v>
                      </c:pt>
                      <c:pt idx="48" c:formatCode="dd/mm/yy;@">
                        <c:v>45827</c:v>
                      </c:pt>
                      <c:pt idx="49" c:formatCode="dd/mm/yy;@">
                        <c:v>45842</c:v>
                      </c:pt>
                      <c:pt idx="50" c:formatCode="dd/mm/yyyy">
                        <c:v>45848</c:v>
                      </c:pt>
                      <c:pt idx="51" c:formatCode="dd/mm/yy;@">
                        <c:v>45856</c:v>
                      </c:pt>
                      <c:pt idx="52" c:formatCode="dd/mm/yy;@">
                        <c:v>45863</c:v>
                      </c:pt>
                      <c:pt idx="53" c:formatCode="dd/mm/yy;@">
                        <c:v>45880</c:v>
                      </c:pt>
                      <c:pt idx="54" c:formatCode="dd/mm/yy;@">
                        <c:v>45891</c:v>
                      </c:pt>
                      <c:pt idx="55" c:formatCode="dd/mm/yy;@">
                        <c:v>45919</c:v>
                      </c:pt>
                      <c:pt idx="56" c:formatCode="dd/mm/yy;@">
                        <c:v>45925</c:v>
                      </c:pt>
                      <c:pt idx="57" c:formatCode="dd/mm/yy;@">
                        <c:v>45933</c:v>
                      </c:pt>
                      <c:pt idx="58" c:formatCode="dd/mm/yy;@">
                        <c:v>45940</c:v>
                      </c:pt>
                      <c:pt idx="59" c:formatCode="dd/mm/yy;@">
                        <c:v>45947</c:v>
                      </c:pt>
                      <c:pt idx="60" c:formatCode="dd/mm/yy;@">
                        <c:v>45952</c:v>
                      </c:pt>
                      <c:pt idx="61" c:formatCode="dd/mm/yy;@">
                        <c:v>45961</c:v>
                      </c:pt>
                      <c:pt idx="62" c:formatCode="dd/mm/yy;@">
                        <c:v>45968</c:v>
                      </c:pt>
                      <c:pt idx="63" c:formatCode="dd/mm/yy;@">
                        <c:v>45975</c:v>
                      </c:pt>
                      <c:pt idx="64" c:formatCode="dd/mm/yy;@">
                        <c:v>45982</c:v>
                      </c:pt>
                      <c:pt idx="65" c:formatCode="dd/mm/yy;@">
                        <c:v>45989</c:v>
                      </c:pt>
                      <c:pt idx="66" c:formatCode="dd/mm/yy;@">
                        <c:v>45996</c:v>
                      </c:pt>
                      <c:pt idx="67" c:formatCode="dd/mm/yy;@">
                        <c:v>46003</c:v>
                      </c:pt>
                      <c:pt idx="68" c:formatCode="dd/mm/yy;@">
                        <c:v>46010</c:v>
                      </c:pt>
                      <c:pt idx="69" c:formatCode="dd/mm/yy;@">
                        <c:v>46017</c:v>
                      </c:pt>
                      <c:pt idx="70" c:formatCode="dd/mm/yy;@">
                        <c:v>46030</c:v>
                      </c:pt>
                      <c:pt idx="71" c:formatCode="dd/mm/yy;@">
                        <c:v>46042</c:v>
                      </c:pt>
                      <c:pt idx="72" c:formatCode="dd/mm/yy;@">
                        <c:v>46051</c:v>
                      </c:pt>
                      <c:pt idx="73" c:formatCode="dd/mm/yy;@">
                        <c:v>46066</c:v>
                      </c:pt>
                      <c:pt idx="74" c:formatCode="dd/mm/yy;@">
                        <c:v>46080</c:v>
                      </c:pt>
                      <c:pt idx="75" c:formatCode="dd/mm/yy;@">
                        <c:v>46087</c:v>
                      </c:pt>
                      <c:pt idx="76" c:formatCode="dd/mm/yy;@">
                        <c:v>46094</c:v>
                      </c:pt>
                      <c:pt idx="77" c:formatCode="dd/mm/yy;@">
                        <c:v>46114</c:v>
                      </c:pt>
                      <c:pt idx="78" c:formatCode="dd/mm/yy;@">
                        <c:v>46125</c:v>
                      </c:pt>
                      <c:pt idx="79" c:formatCode="dd/mm/yy;@">
                        <c:v>46136</c:v>
                      </c:pt>
                      <c:pt idx="80" c:formatCode="dd/mm/yy;@">
                        <c:v>46150</c:v>
                      </c:pt>
                      <c:pt idx="81" c:formatCode="dd/mm/yy;@">
                        <c:v>46157</c:v>
                      </c:pt>
                      <c:pt idx="82" c:formatCode="dd/mm/yy;@">
                        <c:v>46177</c:v>
                      </c:pt>
                      <c:pt idx="83" c:formatCode="dd/mm/yy;@">
                        <c:v>46185</c:v>
                      </c:pt>
                      <c:pt idx="84" c:formatCode="dd/mm/yy;@">
                        <c:v>46192</c:v>
                      </c:pt>
                      <c:pt idx="85" c:formatCode="dd/mm/yy;@">
                        <c:v>46199</c:v>
                      </c:pt>
                      <c:pt idx="86" c:formatCode="dd/mm/yy;@">
                        <c:v>46206</c:v>
                      </c:pt>
                      <c:pt idx="87" c:formatCode="dd/mm/yy;@">
                        <c:v>46213</c:v>
                      </c:pt>
                      <c:pt idx="88" c:formatCode="dd/mm/yy;@">
                        <c:v>46220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FAHD!#REF!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FAHD!$D$74:$D$162</c15:sqref>
                        </c15:formulaRef>
                      </c:ext>
                    </c:extLst>
                    <c:numCache>
                      <c:formatCode>dd/mm/yy;@</c:formatCode>
                      <c:ptCount val="89"/>
                      <c:pt idx="0" c:formatCode="dd/mm/yy;@">
                        <c:v>45456</c:v>
                      </c:pt>
                      <c:pt idx="1" c:formatCode="dd/mm/yy;@">
                        <c:v>45463</c:v>
                      </c:pt>
                      <c:pt idx="2" c:formatCode="dd/mm/yy;@">
                        <c:v>45470</c:v>
                      </c:pt>
                      <c:pt idx="3" c:formatCode="dd/mm/yy;@">
                        <c:v>45477</c:v>
                      </c:pt>
                      <c:pt idx="4" c:formatCode="dd/mm/yy;@">
                        <c:v>45484</c:v>
                      </c:pt>
                      <c:pt idx="5" c:formatCode="dd/mm/yy;@">
                        <c:v>45491</c:v>
                      </c:pt>
                      <c:pt idx="6" c:formatCode="dd/mm/yy;@">
                        <c:v>45498</c:v>
                      </c:pt>
                      <c:pt idx="7" c:formatCode="dd/mm/yy;@">
                        <c:v>45505</c:v>
                      </c:pt>
                      <c:pt idx="8" c:formatCode="dd/mm/yy;@">
                        <c:v>45512</c:v>
                      </c:pt>
                      <c:pt idx="9" c:formatCode="dd/mm/yy;@">
                        <c:v>45519</c:v>
                      </c:pt>
                      <c:pt idx="10" c:formatCode="dd/mm/yy;@">
                        <c:v>45547</c:v>
                      </c:pt>
                      <c:pt idx="11" c:formatCode="dd/mm/yy;@">
                        <c:v>45554</c:v>
                      </c:pt>
                      <c:pt idx="12" c:formatCode="dd/mm/yy;@">
                        <c:v>45561</c:v>
                      </c:pt>
                      <c:pt idx="13" c:formatCode="dd/mm/yy;@">
                        <c:v>45568</c:v>
                      </c:pt>
                      <c:pt idx="14" c:formatCode="dd/mm/yy;@">
                        <c:v>45575</c:v>
                      </c:pt>
                      <c:pt idx="15" c:formatCode="dd/mm/yy;@">
                        <c:v>45582</c:v>
                      </c:pt>
                      <c:pt idx="16" c:formatCode="dd/mm/yy;@">
                        <c:v>45589</c:v>
                      </c:pt>
                      <c:pt idx="17" c:formatCode="dd/mm/yy;@">
                        <c:v>45596</c:v>
                      </c:pt>
                      <c:pt idx="18" c:formatCode="dd/mm/yy;@">
                        <c:v>45603</c:v>
                      </c:pt>
                      <c:pt idx="19" c:formatCode="dd/mm/yy;@">
                        <c:v>45610</c:v>
                      </c:pt>
                      <c:pt idx="20" c:formatCode="dd/mm/yy;@">
                        <c:v>45617</c:v>
                      </c:pt>
                      <c:pt idx="21" c:formatCode="dd/mm/yy;@">
                        <c:v>45624</c:v>
                      </c:pt>
                      <c:pt idx="22" c:formatCode="dd/mm/yy;@">
                        <c:v>45631</c:v>
                      </c:pt>
                      <c:pt idx="23" c:formatCode="dd/mm/yy;@">
                        <c:v>45638</c:v>
                      </c:pt>
                      <c:pt idx="24" c:formatCode="dd/mm/yy;@">
                        <c:v>45645</c:v>
                      </c:pt>
                      <c:pt idx="25" c:formatCode="dd/mm/yy;@">
                        <c:v>45652</c:v>
                      </c:pt>
                      <c:pt idx="26" c:formatCode="dd/mm/yy;@">
                        <c:v>45659</c:v>
                      </c:pt>
                      <c:pt idx="27" c:formatCode="dd/mm/yy;@">
                        <c:v>45666</c:v>
                      </c:pt>
                      <c:pt idx="28" c:formatCode="dd/mm/yy;@">
                        <c:v>45673</c:v>
                      </c:pt>
                      <c:pt idx="29" c:formatCode="dd/mm/yy;@">
                        <c:v>45680</c:v>
                      </c:pt>
                      <c:pt idx="30" c:formatCode="dd/mm/yy;@">
                        <c:v>45687</c:v>
                      </c:pt>
                      <c:pt idx="31" c:formatCode="dd/mm/yy;@">
                        <c:v>45694</c:v>
                      </c:pt>
                      <c:pt idx="32" c:formatCode="dd/mm/yy;@">
                        <c:v>45701</c:v>
                      </c:pt>
                      <c:pt idx="33" c:formatCode="dd/mm/yy;@">
                        <c:v>45708</c:v>
                      </c:pt>
                      <c:pt idx="34" c:formatCode="dd/mm/yy;@">
                        <c:v>45715</c:v>
                      </c:pt>
                      <c:pt idx="35" c:formatCode="dd/mm/yy;@">
                        <c:v>45722</c:v>
                      </c:pt>
                      <c:pt idx="36" c:formatCode="dd/mm/yy;@">
                        <c:v>45730</c:v>
                      </c:pt>
                      <c:pt idx="37" c:formatCode="dd/mm/yy;@">
                        <c:v>45736</c:v>
                      </c:pt>
                      <c:pt idx="38" c:formatCode="dd/mm/yy;@">
                        <c:v>45742</c:v>
                      </c:pt>
                      <c:pt idx="39" c:formatCode="dd/mm/yy;@">
                        <c:v>45750</c:v>
                      </c:pt>
                      <c:pt idx="40" c:formatCode="dd/mm/yy;@">
                        <c:v>45757</c:v>
                      </c:pt>
                      <c:pt idx="41" c:formatCode="dd/mm/yy;@">
                        <c:v>45764</c:v>
                      </c:pt>
                      <c:pt idx="42" c:formatCode="dd/mm/yy;@">
                        <c:v>45771</c:v>
                      </c:pt>
                      <c:pt idx="43" c:formatCode="dd/mm/yy;@">
                        <c:v>45779</c:v>
                      </c:pt>
                      <c:pt idx="44" c:formatCode="dd/mm/yy;@">
                        <c:v>45792</c:v>
                      </c:pt>
                      <c:pt idx="45" c:formatCode="dd/mm/yy;@">
                        <c:v>45799</c:v>
                      </c:pt>
                      <c:pt idx="46" c:formatCode="dd/mm/yy;@">
                        <c:v>45806</c:v>
                      </c:pt>
                      <c:pt idx="47" c:formatCode="dd/mm/yy;@">
                        <c:v>45820</c:v>
                      </c:pt>
                      <c:pt idx="48" c:formatCode="dd/mm/yy;@">
                        <c:v>45827</c:v>
                      </c:pt>
                      <c:pt idx="49" c:formatCode="dd/mm/yy;@">
                        <c:v>45842</c:v>
                      </c:pt>
                      <c:pt idx="50" c:formatCode="dd/mm/yyyy">
                        <c:v>45848</c:v>
                      </c:pt>
                      <c:pt idx="51" c:formatCode="dd/mm/yy;@">
                        <c:v>45856</c:v>
                      </c:pt>
                      <c:pt idx="52" c:formatCode="dd/mm/yy;@">
                        <c:v>45863</c:v>
                      </c:pt>
                      <c:pt idx="53" c:formatCode="dd/mm/yy;@">
                        <c:v>45880</c:v>
                      </c:pt>
                      <c:pt idx="54" c:formatCode="dd/mm/yy;@">
                        <c:v>45891</c:v>
                      </c:pt>
                      <c:pt idx="55" c:formatCode="dd/mm/yy;@">
                        <c:v>45919</c:v>
                      </c:pt>
                      <c:pt idx="56" c:formatCode="dd/mm/yy;@">
                        <c:v>45925</c:v>
                      </c:pt>
                      <c:pt idx="57" c:formatCode="dd/mm/yy;@">
                        <c:v>45933</c:v>
                      </c:pt>
                      <c:pt idx="58" c:formatCode="dd/mm/yy;@">
                        <c:v>45940</c:v>
                      </c:pt>
                      <c:pt idx="59" c:formatCode="dd/mm/yy;@">
                        <c:v>45947</c:v>
                      </c:pt>
                      <c:pt idx="60" c:formatCode="dd/mm/yy;@">
                        <c:v>45952</c:v>
                      </c:pt>
                      <c:pt idx="61" c:formatCode="dd/mm/yy;@">
                        <c:v>45961</c:v>
                      </c:pt>
                      <c:pt idx="62" c:formatCode="dd/mm/yy;@">
                        <c:v>45968</c:v>
                      </c:pt>
                      <c:pt idx="63" c:formatCode="dd/mm/yy;@">
                        <c:v>45975</c:v>
                      </c:pt>
                      <c:pt idx="64" c:formatCode="dd/mm/yy;@">
                        <c:v>45982</c:v>
                      </c:pt>
                      <c:pt idx="65" c:formatCode="dd/mm/yy;@">
                        <c:v>45989</c:v>
                      </c:pt>
                      <c:pt idx="66" c:formatCode="dd/mm/yy;@">
                        <c:v>45996</c:v>
                      </c:pt>
                      <c:pt idx="67" c:formatCode="dd/mm/yy;@">
                        <c:v>46003</c:v>
                      </c:pt>
                      <c:pt idx="68" c:formatCode="dd/mm/yy;@">
                        <c:v>46010</c:v>
                      </c:pt>
                      <c:pt idx="69" c:formatCode="dd/mm/yy;@">
                        <c:v>46017</c:v>
                      </c:pt>
                      <c:pt idx="70" c:formatCode="dd/mm/yy;@">
                        <c:v>46030</c:v>
                      </c:pt>
                      <c:pt idx="71" c:formatCode="dd/mm/yy;@">
                        <c:v>46042</c:v>
                      </c:pt>
                      <c:pt idx="72" c:formatCode="dd/mm/yy;@">
                        <c:v>46051</c:v>
                      </c:pt>
                      <c:pt idx="73" c:formatCode="dd/mm/yy;@">
                        <c:v>46066</c:v>
                      </c:pt>
                      <c:pt idx="74" c:formatCode="dd/mm/yy;@">
                        <c:v>46080</c:v>
                      </c:pt>
                      <c:pt idx="75" c:formatCode="dd/mm/yy;@">
                        <c:v>46087</c:v>
                      </c:pt>
                      <c:pt idx="76" c:formatCode="dd/mm/yy;@">
                        <c:v>46094</c:v>
                      </c:pt>
                      <c:pt idx="77" c:formatCode="dd/mm/yy;@">
                        <c:v>46114</c:v>
                      </c:pt>
                      <c:pt idx="78" c:formatCode="dd/mm/yy;@">
                        <c:v>46125</c:v>
                      </c:pt>
                      <c:pt idx="79" c:formatCode="dd/mm/yy;@">
                        <c:v>46136</c:v>
                      </c:pt>
                      <c:pt idx="80" c:formatCode="dd/mm/yy;@">
                        <c:v>46150</c:v>
                      </c:pt>
                      <c:pt idx="81" c:formatCode="dd/mm/yy;@">
                        <c:v>46157</c:v>
                      </c:pt>
                      <c:pt idx="82" c:formatCode="dd/mm/yy;@">
                        <c:v>46177</c:v>
                      </c:pt>
                      <c:pt idx="83" c:formatCode="dd/mm/yy;@">
                        <c:v>46185</c:v>
                      </c:pt>
                      <c:pt idx="84" c:formatCode="dd/mm/yy;@">
                        <c:v>46192</c:v>
                      </c:pt>
                      <c:pt idx="85" c:formatCode="dd/mm/yy;@">
                        <c:v>46199</c:v>
                      </c:pt>
                      <c:pt idx="86" c:formatCode="dd/mm/yy;@">
                        <c:v>46206</c:v>
                      </c:pt>
                      <c:pt idx="87" c:formatCode="dd/mm/yy;@">
                        <c:v>46213</c:v>
                      </c:pt>
                      <c:pt idx="88" c:formatCode="dd/mm/yy;@">
                        <c:v>46220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FAHD!#REF!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27658248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659888"/>
        <c:crosses val="autoZero"/>
        <c:auto val="1"/>
        <c:lblOffset val="100"/>
        <c:baseTimeUnit val="days"/>
      </c:dateAx>
      <c:valAx>
        <c:axId val="6276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658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79c0b9-4022-492c-9ba9-88fb90a361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IMPAYES GII</a:t>
            </a:r>
            <a:endParaRPr lang="fr-FR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3568460192476"/>
          <c:y val="0.194861111111111"/>
          <c:w val="0.791840551181102"/>
          <c:h val="0.62346456692913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GII!$C$90:$C$176</c:f>
              <c:numCache>
                <c:formatCode>dd/mm/yy;@</c:formatCode>
                <c:ptCount val="87"/>
                <c:pt idx="0" c:formatCode="dd/mm/yy;@">
                  <c:v>45470</c:v>
                </c:pt>
                <c:pt idx="1" c:formatCode="dd/mm/yy;@">
                  <c:v>45477</c:v>
                </c:pt>
                <c:pt idx="2" c:formatCode="dd/mm/yy;@">
                  <c:v>45484</c:v>
                </c:pt>
                <c:pt idx="3" c:formatCode="dd/mm/yy;@">
                  <c:v>45491</c:v>
                </c:pt>
                <c:pt idx="4" c:formatCode="dd/mm/yy;@">
                  <c:v>45498</c:v>
                </c:pt>
                <c:pt idx="5" c:formatCode="dd/mm/yy;@">
                  <c:v>45505</c:v>
                </c:pt>
                <c:pt idx="6" c:formatCode="dd/mm/yy;@">
                  <c:v>45512</c:v>
                </c:pt>
                <c:pt idx="7" c:formatCode="dd/mm/yy;@">
                  <c:v>45519</c:v>
                </c:pt>
                <c:pt idx="8" c:formatCode="dd/mm/yy;@">
                  <c:v>45547</c:v>
                </c:pt>
                <c:pt idx="9" c:formatCode="dd/mm/yy;@">
                  <c:v>45554</c:v>
                </c:pt>
                <c:pt idx="10" c:formatCode="dd/mm/yy;@">
                  <c:v>45561</c:v>
                </c:pt>
                <c:pt idx="11" c:formatCode="dd/mm/yy;@">
                  <c:v>45568</c:v>
                </c:pt>
                <c:pt idx="12" c:formatCode="dd/mm/yy;@">
                  <c:v>45575</c:v>
                </c:pt>
                <c:pt idx="13" c:formatCode="dd/mm/yy;@">
                  <c:v>45582</c:v>
                </c:pt>
                <c:pt idx="14" c:formatCode="dd/mm/yy;@">
                  <c:v>45589</c:v>
                </c:pt>
                <c:pt idx="15" c:formatCode="dd/mm/yy;@">
                  <c:v>45596</c:v>
                </c:pt>
                <c:pt idx="16" c:formatCode="dd/mm/yy;@">
                  <c:v>45603</c:v>
                </c:pt>
                <c:pt idx="17" c:formatCode="dd/mm/yy;@">
                  <c:v>45610</c:v>
                </c:pt>
                <c:pt idx="18" c:formatCode="dd/mm/yy;@">
                  <c:v>45617</c:v>
                </c:pt>
                <c:pt idx="19" c:formatCode="dd/mm/yy;@">
                  <c:v>45624</c:v>
                </c:pt>
                <c:pt idx="20" c:formatCode="dd/mm/yy;@">
                  <c:v>45631</c:v>
                </c:pt>
                <c:pt idx="21" c:formatCode="dd/mm/yy;@">
                  <c:v>45638</c:v>
                </c:pt>
                <c:pt idx="22" c:formatCode="dd/mm/yy;@">
                  <c:v>45645</c:v>
                </c:pt>
                <c:pt idx="23" c:formatCode="dd/mm/yy;@">
                  <c:v>45652</c:v>
                </c:pt>
                <c:pt idx="24" c:formatCode="dd/mm/yy;@">
                  <c:v>45659</c:v>
                </c:pt>
                <c:pt idx="25" c:formatCode="dd/mm/yy;@">
                  <c:v>45666</c:v>
                </c:pt>
                <c:pt idx="26" c:formatCode="dd/mm/yy;@">
                  <c:v>45673</c:v>
                </c:pt>
                <c:pt idx="27" c:formatCode="dd/mm/yy;@">
                  <c:v>45680</c:v>
                </c:pt>
                <c:pt idx="28" c:formatCode="dd/mm/yy;@">
                  <c:v>45687</c:v>
                </c:pt>
                <c:pt idx="29" c:formatCode="dd/mm/yy;@">
                  <c:v>45694</c:v>
                </c:pt>
                <c:pt idx="30" c:formatCode="dd/mm/yy;@">
                  <c:v>45701</c:v>
                </c:pt>
                <c:pt idx="31" c:formatCode="dd/mm/yy;@">
                  <c:v>45708</c:v>
                </c:pt>
                <c:pt idx="32" c:formatCode="dd/mm/yy;@">
                  <c:v>45715</c:v>
                </c:pt>
                <c:pt idx="33" c:formatCode="dd/mm/yy;@">
                  <c:v>45694</c:v>
                </c:pt>
                <c:pt idx="34" c:formatCode="dd/mm/yy;@">
                  <c:v>45730</c:v>
                </c:pt>
                <c:pt idx="35" c:formatCode="dd/mm/yy;@">
                  <c:v>45736</c:v>
                </c:pt>
                <c:pt idx="36" c:formatCode="dd/mm/yy;@">
                  <c:v>45743</c:v>
                </c:pt>
                <c:pt idx="37" c:formatCode="dd/mm/yy;@">
                  <c:v>45750</c:v>
                </c:pt>
                <c:pt idx="38" c:formatCode="dd/mm/yy;@">
                  <c:v>45757</c:v>
                </c:pt>
                <c:pt idx="39" c:formatCode="dd/mm/yy;@">
                  <c:v>45764</c:v>
                </c:pt>
                <c:pt idx="40" c:formatCode="dd/mm/yy;@">
                  <c:v>45771</c:v>
                </c:pt>
                <c:pt idx="41" c:formatCode="dd/mm/yy;@">
                  <c:v>45779</c:v>
                </c:pt>
                <c:pt idx="42" c:formatCode="dd/mm/yy;@">
                  <c:v>45792</c:v>
                </c:pt>
                <c:pt idx="43" c:formatCode="dd/mm/yy;@">
                  <c:v>45799</c:v>
                </c:pt>
                <c:pt idx="44" c:formatCode="dd/mm/yy;@">
                  <c:v>45806</c:v>
                </c:pt>
                <c:pt idx="45" c:formatCode="dd/mm/yy;@">
                  <c:v>45820</c:v>
                </c:pt>
                <c:pt idx="46" c:formatCode="dd/mm/yy;@">
                  <c:v>45827</c:v>
                </c:pt>
                <c:pt idx="47" c:formatCode="dd/mm/yy;@">
                  <c:v>45842</c:v>
                </c:pt>
                <c:pt idx="48" c:formatCode="dd/mm/yy;@">
                  <c:v>45848</c:v>
                </c:pt>
                <c:pt idx="49" c:formatCode="dd/mm/yy;@">
                  <c:v>45856</c:v>
                </c:pt>
                <c:pt idx="50" c:formatCode="dd/mm/yy;@">
                  <c:v>45863</c:v>
                </c:pt>
                <c:pt idx="51" c:formatCode="dd/mm/yy;@">
                  <c:v>45880</c:v>
                </c:pt>
                <c:pt idx="52" c:formatCode="dd/mm/yy;@">
                  <c:v>45891</c:v>
                </c:pt>
                <c:pt idx="53" c:formatCode="dd/mm/yy;@">
                  <c:v>45919</c:v>
                </c:pt>
                <c:pt idx="54" c:formatCode="dd/mm/yy;@">
                  <c:v>45925</c:v>
                </c:pt>
                <c:pt idx="55" c:formatCode="dd/mm/yy;@">
                  <c:v>45933</c:v>
                </c:pt>
                <c:pt idx="56" c:formatCode="dd/mm/yy;@">
                  <c:v>45940</c:v>
                </c:pt>
                <c:pt idx="57" c:formatCode="dd/mm/yy;@">
                  <c:v>45947</c:v>
                </c:pt>
                <c:pt idx="58" c:formatCode="dd/mm/yy;@">
                  <c:v>45952</c:v>
                </c:pt>
                <c:pt idx="59" c:formatCode="dd/mm/yy;@">
                  <c:v>45961</c:v>
                </c:pt>
                <c:pt idx="60" c:formatCode="dd/mm/yy;@">
                  <c:v>45968</c:v>
                </c:pt>
                <c:pt idx="61" c:formatCode="dd/mm/yy;@">
                  <c:v>45975</c:v>
                </c:pt>
                <c:pt idx="62" c:formatCode="dd/mm/yy;@">
                  <c:v>45982</c:v>
                </c:pt>
                <c:pt idx="63" c:formatCode="dd/mm/yy;@">
                  <c:v>45989</c:v>
                </c:pt>
                <c:pt idx="64" c:formatCode="dd/mm/yy;@">
                  <c:v>45996</c:v>
                </c:pt>
                <c:pt idx="65" c:formatCode="dd/mm/yy;@">
                  <c:v>46003</c:v>
                </c:pt>
                <c:pt idx="66" c:formatCode="dd/mm/yy;@">
                  <c:v>46010</c:v>
                </c:pt>
                <c:pt idx="67" c:formatCode="dd/mm/yy;@">
                  <c:v>46017</c:v>
                </c:pt>
                <c:pt idx="68" c:formatCode="dd/mm/yy;@">
                  <c:v>46030</c:v>
                </c:pt>
                <c:pt idx="69" c:formatCode="dd/mm/yy;@">
                  <c:v>46042</c:v>
                </c:pt>
                <c:pt idx="70" c:formatCode="dd/mm/yy;@">
                  <c:v>46051</c:v>
                </c:pt>
                <c:pt idx="71" c:formatCode="dd/mm/yy;@">
                  <c:v>46066</c:v>
                </c:pt>
                <c:pt idx="72" c:formatCode="dd/mm/yy;@">
                  <c:v>46080</c:v>
                </c:pt>
                <c:pt idx="73" c:formatCode="dd/mm/yy;@">
                  <c:v>46087</c:v>
                </c:pt>
                <c:pt idx="74" c:formatCode="dd/mm/yy;@">
                  <c:v>46094</c:v>
                </c:pt>
                <c:pt idx="75" c:formatCode="dd/mm/yy;@">
                  <c:v>46114</c:v>
                </c:pt>
                <c:pt idx="76" c:formatCode="dd/mm/yy;@">
                  <c:v>46125</c:v>
                </c:pt>
                <c:pt idx="77" c:formatCode="dd/mm/yy;@">
                  <c:v>46136</c:v>
                </c:pt>
                <c:pt idx="78" c:formatCode="dd/mm/yy;@">
                  <c:v>46150</c:v>
                </c:pt>
                <c:pt idx="79" c:formatCode="dd/mm/yy;@">
                  <c:v>46157</c:v>
                </c:pt>
                <c:pt idx="80" c:formatCode="dd/mm/yy;@">
                  <c:v>46177</c:v>
                </c:pt>
                <c:pt idx="81" c:formatCode="dd/mm/yy;@">
                  <c:v>46185</c:v>
                </c:pt>
                <c:pt idx="82" c:formatCode="dd/mm/yy;@">
                  <c:v>46192</c:v>
                </c:pt>
                <c:pt idx="83" c:formatCode="dd/mm/yy;@">
                  <c:v>46199</c:v>
                </c:pt>
                <c:pt idx="84" c:formatCode="dd/mm/yy;@">
                  <c:v>46206</c:v>
                </c:pt>
                <c:pt idx="85" c:formatCode="dd/mm/yy;@">
                  <c:v>46213</c:v>
                </c:pt>
                <c:pt idx="86" c:formatCode="dd/mm/yy;@">
                  <c:v>46220</c:v>
                </c:pt>
              </c:numCache>
            </c:numRef>
          </c:cat>
          <c:val>
            <c:numRef>
              <c:f>GII!$D$90:$D$176</c:f>
              <c:numCache>
                <c:formatCode>#,##0.00</c:formatCode>
                <c:ptCount val="87"/>
                <c:pt idx="0">
                  <c:v>2457097.74</c:v>
                </c:pt>
                <c:pt idx="1">
                  <c:v>2463297.74</c:v>
                </c:pt>
                <c:pt idx="2">
                  <c:v>2459830.34</c:v>
                </c:pt>
                <c:pt idx="3">
                  <c:v>2512680.34</c:v>
                </c:pt>
                <c:pt idx="4">
                  <c:v>2522680.34</c:v>
                </c:pt>
                <c:pt idx="5">
                  <c:v>2420830.34</c:v>
                </c:pt>
                <c:pt idx="6">
                  <c:v>2468456.94</c:v>
                </c:pt>
                <c:pt idx="7">
                  <c:v>2436761.94</c:v>
                </c:pt>
                <c:pt idx="8">
                  <c:v>2496452.31</c:v>
                </c:pt>
                <c:pt idx="9">
                  <c:v>2446452.31</c:v>
                </c:pt>
                <c:pt idx="10">
                  <c:v>2451747.31</c:v>
                </c:pt>
                <c:pt idx="11">
                  <c:v>2451747.31</c:v>
                </c:pt>
                <c:pt idx="12">
                  <c:v>2451747.31</c:v>
                </c:pt>
                <c:pt idx="13">
                  <c:v>2442547.31</c:v>
                </c:pt>
                <c:pt idx="14">
                  <c:v>2468724.42</c:v>
                </c:pt>
                <c:pt idx="15">
                  <c:v>2456164.42</c:v>
                </c:pt>
                <c:pt idx="16">
                  <c:v>2481409.15</c:v>
                </c:pt>
                <c:pt idx="17">
                  <c:v>2253288.75</c:v>
                </c:pt>
                <c:pt idx="18">
                  <c:v>2215366.52</c:v>
                </c:pt>
                <c:pt idx="19">
                  <c:v>2218366.52</c:v>
                </c:pt>
                <c:pt idx="20">
                  <c:v>2218366.52</c:v>
                </c:pt>
                <c:pt idx="21">
                  <c:v>2260164.42</c:v>
                </c:pt>
                <c:pt idx="22">
                  <c:v>2246164.42</c:v>
                </c:pt>
                <c:pt idx="23">
                  <c:v>2246164.42</c:v>
                </c:pt>
                <c:pt idx="24">
                  <c:v>2213164.42</c:v>
                </c:pt>
                <c:pt idx="25">
                  <c:v>2124695.42</c:v>
                </c:pt>
                <c:pt idx="26">
                  <c:v>2110195.42</c:v>
                </c:pt>
                <c:pt idx="27">
                  <c:v>2110195.42</c:v>
                </c:pt>
                <c:pt idx="28">
                  <c:v>2110195.42</c:v>
                </c:pt>
                <c:pt idx="29">
                  <c:v>2110195.42</c:v>
                </c:pt>
                <c:pt idx="30">
                  <c:v>2117195.42</c:v>
                </c:pt>
                <c:pt idx="31">
                  <c:v>2097195.42</c:v>
                </c:pt>
                <c:pt idx="32">
                  <c:v>2168872</c:v>
                </c:pt>
                <c:pt idx="33">
                  <c:v>2181154.88</c:v>
                </c:pt>
                <c:pt idx="34">
                  <c:v>2181154.88</c:v>
                </c:pt>
                <c:pt idx="35">
                  <c:v>2181154.88</c:v>
                </c:pt>
                <c:pt idx="36">
                  <c:v>2157430.16</c:v>
                </c:pt>
                <c:pt idx="37">
                  <c:v>2077430.16</c:v>
                </c:pt>
                <c:pt idx="38">
                  <c:v>2081231.06</c:v>
                </c:pt>
                <c:pt idx="39">
                  <c:v>2054231.06</c:v>
                </c:pt>
                <c:pt idx="40">
                  <c:v>2078421.17</c:v>
                </c:pt>
                <c:pt idx="41">
                  <c:v>2080615.68</c:v>
                </c:pt>
                <c:pt idx="42">
                  <c:v>1981835.66</c:v>
                </c:pt>
                <c:pt idx="43">
                  <c:v>1981835.66</c:v>
                </c:pt>
                <c:pt idx="44">
                  <c:v>2002546.56</c:v>
                </c:pt>
                <c:pt idx="45">
                  <c:v>2015999.36</c:v>
                </c:pt>
                <c:pt idx="46">
                  <c:v>2085999.36</c:v>
                </c:pt>
                <c:pt idx="47">
                  <c:v>2098412.36</c:v>
                </c:pt>
                <c:pt idx="48">
                  <c:v>2176530.43</c:v>
                </c:pt>
                <c:pt idx="49">
                  <c:v>2170520.43</c:v>
                </c:pt>
                <c:pt idx="50">
                  <c:v>2036008.11</c:v>
                </c:pt>
                <c:pt idx="51">
                  <c:v>2043733.11</c:v>
                </c:pt>
                <c:pt idx="52">
                  <c:v>2059309.23</c:v>
                </c:pt>
                <c:pt idx="53">
                  <c:v>2045807.77</c:v>
                </c:pt>
                <c:pt idx="54">
                  <c:v>2093740.74</c:v>
                </c:pt>
                <c:pt idx="55">
                  <c:v>2089971.74</c:v>
                </c:pt>
                <c:pt idx="56">
                  <c:v>1979431.74</c:v>
                </c:pt>
                <c:pt idx="57">
                  <c:v>2132257.77</c:v>
                </c:pt>
                <c:pt idx="58">
                  <c:v>2132257.77</c:v>
                </c:pt>
                <c:pt idx="59">
                  <c:v>1995257.77</c:v>
                </c:pt>
                <c:pt idx="60">
                  <c:v>1995257.77</c:v>
                </c:pt>
                <c:pt idx="61">
                  <c:v>2105797.77</c:v>
                </c:pt>
                <c:pt idx="62">
                  <c:v>2141433.77</c:v>
                </c:pt>
                <c:pt idx="63">
                  <c:v>2051466.31</c:v>
                </c:pt>
                <c:pt idx="64">
                  <c:v>2176980.31</c:v>
                </c:pt>
                <c:pt idx="65">
                  <c:v>2176980.31</c:v>
                </c:pt>
                <c:pt idx="66">
                  <c:v>2143819.31</c:v>
                </c:pt>
                <c:pt idx="67">
                  <c:v>2199436.31</c:v>
                </c:pt>
                <c:pt idx="68">
                  <c:v>2193807.1</c:v>
                </c:pt>
                <c:pt idx="69">
                  <c:v>2163807.1</c:v>
                </c:pt>
                <c:pt idx="70">
                  <c:v>2060421.58</c:v>
                </c:pt>
                <c:pt idx="71">
                  <c:v>2095421.58</c:v>
                </c:pt>
                <c:pt idx="72">
                  <c:v>2102216.58</c:v>
                </c:pt>
                <c:pt idx="73">
                  <c:v>2060299.58</c:v>
                </c:pt>
                <c:pt idx="74">
                  <c:v>2060299.58</c:v>
                </c:pt>
                <c:pt idx="75">
                  <c:v>2050299.58</c:v>
                </c:pt>
                <c:pt idx="76">
                  <c:v>2064862.75</c:v>
                </c:pt>
                <c:pt idx="77">
                  <c:v>1969862.75</c:v>
                </c:pt>
                <c:pt idx="78">
                  <c:v>1966418.92</c:v>
                </c:pt>
                <c:pt idx="79">
                  <c:v>1966418.92</c:v>
                </c:pt>
                <c:pt idx="80">
                  <c:v>1976418.92</c:v>
                </c:pt>
                <c:pt idx="81">
                  <c:v>1984801.92</c:v>
                </c:pt>
                <c:pt idx="82">
                  <c:v>2001601.92</c:v>
                </c:pt>
                <c:pt idx="83">
                  <c:v>2045594.27</c:v>
                </c:pt>
                <c:pt idx="84">
                  <c:v>1892743.52</c:v>
                </c:pt>
                <c:pt idx="85">
                  <c:v>2008457.9</c:v>
                </c:pt>
                <c:pt idx="86">
                  <c:v>2020799.05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744144"/>
        <c:axId val="66774250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GII!$C$90:$C$176</c15:sqref>
                        </c15:formulaRef>
                      </c:ext>
                    </c:extLst>
                    <c:numCache>
                      <c:formatCode>dd/mm/yy;@</c:formatCode>
                      <c:ptCount val="87"/>
                      <c:pt idx="0" c:formatCode="dd/mm/yy;@">
                        <c:v>45470</c:v>
                      </c:pt>
                      <c:pt idx="1" c:formatCode="dd/mm/yy;@">
                        <c:v>45477</c:v>
                      </c:pt>
                      <c:pt idx="2" c:formatCode="dd/mm/yy;@">
                        <c:v>45484</c:v>
                      </c:pt>
                      <c:pt idx="3" c:formatCode="dd/mm/yy;@">
                        <c:v>45491</c:v>
                      </c:pt>
                      <c:pt idx="4" c:formatCode="dd/mm/yy;@">
                        <c:v>45498</c:v>
                      </c:pt>
                      <c:pt idx="5" c:formatCode="dd/mm/yy;@">
                        <c:v>45505</c:v>
                      </c:pt>
                      <c:pt idx="6" c:formatCode="dd/mm/yy;@">
                        <c:v>45512</c:v>
                      </c:pt>
                      <c:pt idx="7" c:formatCode="dd/mm/yy;@">
                        <c:v>45519</c:v>
                      </c:pt>
                      <c:pt idx="8" c:formatCode="dd/mm/yy;@">
                        <c:v>45547</c:v>
                      </c:pt>
                      <c:pt idx="9" c:formatCode="dd/mm/yy;@">
                        <c:v>45554</c:v>
                      </c:pt>
                      <c:pt idx="10" c:formatCode="dd/mm/yy;@">
                        <c:v>45561</c:v>
                      </c:pt>
                      <c:pt idx="11" c:formatCode="dd/mm/yy;@">
                        <c:v>45568</c:v>
                      </c:pt>
                      <c:pt idx="12" c:formatCode="dd/mm/yy;@">
                        <c:v>45575</c:v>
                      </c:pt>
                      <c:pt idx="13" c:formatCode="dd/mm/yy;@">
                        <c:v>45582</c:v>
                      </c:pt>
                      <c:pt idx="14" c:formatCode="dd/mm/yy;@">
                        <c:v>45589</c:v>
                      </c:pt>
                      <c:pt idx="15" c:formatCode="dd/mm/yy;@">
                        <c:v>45596</c:v>
                      </c:pt>
                      <c:pt idx="16" c:formatCode="dd/mm/yy;@">
                        <c:v>45603</c:v>
                      </c:pt>
                      <c:pt idx="17" c:formatCode="dd/mm/yy;@">
                        <c:v>45610</c:v>
                      </c:pt>
                      <c:pt idx="18" c:formatCode="dd/mm/yy;@">
                        <c:v>45617</c:v>
                      </c:pt>
                      <c:pt idx="19" c:formatCode="dd/mm/yy;@">
                        <c:v>45624</c:v>
                      </c:pt>
                      <c:pt idx="20" c:formatCode="dd/mm/yy;@">
                        <c:v>45631</c:v>
                      </c:pt>
                      <c:pt idx="21" c:formatCode="dd/mm/yy;@">
                        <c:v>45638</c:v>
                      </c:pt>
                      <c:pt idx="22" c:formatCode="dd/mm/yy;@">
                        <c:v>45645</c:v>
                      </c:pt>
                      <c:pt idx="23" c:formatCode="dd/mm/yy;@">
                        <c:v>45652</c:v>
                      </c:pt>
                      <c:pt idx="24" c:formatCode="dd/mm/yy;@">
                        <c:v>45659</c:v>
                      </c:pt>
                      <c:pt idx="25" c:formatCode="dd/mm/yy;@">
                        <c:v>45666</c:v>
                      </c:pt>
                      <c:pt idx="26" c:formatCode="dd/mm/yy;@">
                        <c:v>45673</c:v>
                      </c:pt>
                      <c:pt idx="27" c:formatCode="dd/mm/yy;@">
                        <c:v>45680</c:v>
                      </c:pt>
                      <c:pt idx="28" c:formatCode="dd/mm/yy;@">
                        <c:v>45687</c:v>
                      </c:pt>
                      <c:pt idx="29" c:formatCode="dd/mm/yy;@">
                        <c:v>45694</c:v>
                      </c:pt>
                      <c:pt idx="30" c:formatCode="dd/mm/yy;@">
                        <c:v>45701</c:v>
                      </c:pt>
                      <c:pt idx="31" c:formatCode="dd/mm/yy;@">
                        <c:v>45708</c:v>
                      </c:pt>
                      <c:pt idx="32" c:formatCode="dd/mm/yy;@">
                        <c:v>45715</c:v>
                      </c:pt>
                      <c:pt idx="33" c:formatCode="dd/mm/yy;@">
                        <c:v>45694</c:v>
                      </c:pt>
                      <c:pt idx="34" c:formatCode="dd/mm/yy;@">
                        <c:v>45730</c:v>
                      </c:pt>
                      <c:pt idx="35" c:formatCode="dd/mm/yy;@">
                        <c:v>45736</c:v>
                      </c:pt>
                      <c:pt idx="36" c:formatCode="dd/mm/yy;@">
                        <c:v>45743</c:v>
                      </c:pt>
                      <c:pt idx="37" c:formatCode="dd/mm/yy;@">
                        <c:v>45750</c:v>
                      </c:pt>
                      <c:pt idx="38" c:formatCode="dd/mm/yy;@">
                        <c:v>45757</c:v>
                      </c:pt>
                      <c:pt idx="39" c:formatCode="dd/mm/yy;@">
                        <c:v>45764</c:v>
                      </c:pt>
                      <c:pt idx="40" c:formatCode="dd/mm/yy;@">
                        <c:v>45771</c:v>
                      </c:pt>
                      <c:pt idx="41" c:formatCode="dd/mm/yy;@">
                        <c:v>45779</c:v>
                      </c:pt>
                      <c:pt idx="42" c:formatCode="dd/mm/yy;@">
                        <c:v>45792</c:v>
                      </c:pt>
                      <c:pt idx="43" c:formatCode="dd/mm/yy;@">
                        <c:v>45799</c:v>
                      </c:pt>
                      <c:pt idx="44" c:formatCode="dd/mm/yy;@">
                        <c:v>45806</c:v>
                      </c:pt>
                      <c:pt idx="45" c:formatCode="dd/mm/yy;@">
                        <c:v>45820</c:v>
                      </c:pt>
                      <c:pt idx="46" c:formatCode="dd/mm/yy;@">
                        <c:v>45827</c:v>
                      </c:pt>
                      <c:pt idx="47" c:formatCode="dd/mm/yy;@">
                        <c:v>45842</c:v>
                      </c:pt>
                      <c:pt idx="48" c:formatCode="dd/mm/yy;@">
                        <c:v>45848</c:v>
                      </c:pt>
                      <c:pt idx="49" c:formatCode="dd/mm/yy;@">
                        <c:v>45856</c:v>
                      </c:pt>
                      <c:pt idx="50" c:formatCode="dd/mm/yy;@">
                        <c:v>45863</c:v>
                      </c:pt>
                      <c:pt idx="51" c:formatCode="dd/mm/yy;@">
                        <c:v>45880</c:v>
                      </c:pt>
                      <c:pt idx="52" c:formatCode="dd/mm/yy;@">
                        <c:v>45891</c:v>
                      </c:pt>
                      <c:pt idx="53" c:formatCode="dd/mm/yy;@">
                        <c:v>45919</c:v>
                      </c:pt>
                      <c:pt idx="54" c:formatCode="dd/mm/yy;@">
                        <c:v>45925</c:v>
                      </c:pt>
                      <c:pt idx="55" c:formatCode="dd/mm/yy;@">
                        <c:v>45933</c:v>
                      </c:pt>
                      <c:pt idx="56" c:formatCode="dd/mm/yy;@">
                        <c:v>45940</c:v>
                      </c:pt>
                      <c:pt idx="57" c:formatCode="dd/mm/yy;@">
                        <c:v>45947</c:v>
                      </c:pt>
                      <c:pt idx="58" c:formatCode="dd/mm/yy;@">
                        <c:v>45952</c:v>
                      </c:pt>
                      <c:pt idx="59" c:formatCode="dd/mm/yy;@">
                        <c:v>45961</c:v>
                      </c:pt>
                      <c:pt idx="60" c:formatCode="dd/mm/yy;@">
                        <c:v>45968</c:v>
                      </c:pt>
                      <c:pt idx="61" c:formatCode="dd/mm/yy;@">
                        <c:v>45975</c:v>
                      </c:pt>
                      <c:pt idx="62" c:formatCode="dd/mm/yy;@">
                        <c:v>45982</c:v>
                      </c:pt>
                      <c:pt idx="63" c:formatCode="dd/mm/yy;@">
                        <c:v>45989</c:v>
                      </c:pt>
                      <c:pt idx="64" c:formatCode="dd/mm/yy;@">
                        <c:v>45996</c:v>
                      </c:pt>
                      <c:pt idx="65" c:formatCode="dd/mm/yy;@">
                        <c:v>46003</c:v>
                      </c:pt>
                      <c:pt idx="66" c:formatCode="dd/mm/yy;@">
                        <c:v>46010</c:v>
                      </c:pt>
                      <c:pt idx="67" c:formatCode="dd/mm/yy;@">
                        <c:v>46017</c:v>
                      </c:pt>
                      <c:pt idx="68" c:formatCode="dd/mm/yy;@">
                        <c:v>46030</c:v>
                      </c:pt>
                      <c:pt idx="69" c:formatCode="dd/mm/yy;@">
                        <c:v>46042</c:v>
                      </c:pt>
                      <c:pt idx="70" c:formatCode="dd/mm/yy;@">
                        <c:v>46051</c:v>
                      </c:pt>
                      <c:pt idx="71" c:formatCode="dd/mm/yy;@">
                        <c:v>46066</c:v>
                      </c:pt>
                      <c:pt idx="72" c:formatCode="dd/mm/yy;@">
                        <c:v>46080</c:v>
                      </c:pt>
                      <c:pt idx="73" c:formatCode="dd/mm/yy;@">
                        <c:v>46087</c:v>
                      </c:pt>
                      <c:pt idx="74" c:formatCode="dd/mm/yy;@">
                        <c:v>46094</c:v>
                      </c:pt>
                      <c:pt idx="75" c:formatCode="dd/mm/yy;@">
                        <c:v>46114</c:v>
                      </c:pt>
                      <c:pt idx="76" c:formatCode="dd/mm/yy;@">
                        <c:v>46125</c:v>
                      </c:pt>
                      <c:pt idx="77" c:formatCode="dd/mm/yy;@">
                        <c:v>46136</c:v>
                      </c:pt>
                      <c:pt idx="78" c:formatCode="dd/mm/yy;@">
                        <c:v>46150</c:v>
                      </c:pt>
                      <c:pt idx="79" c:formatCode="dd/mm/yy;@">
                        <c:v>46157</c:v>
                      </c:pt>
                      <c:pt idx="80" c:formatCode="dd/mm/yy;@">
                        <c:v>46177</c:v>
                      </c:pt>
                      <c:pt idx="81" c:formatCode="dd/mm/yy;@">
                        <c:v>46185</c:v>
                      </c:pt>
                      <c:pt idx="82" c:formatCode="dd/mm/yy;@">
                        <c:v>46192</c:v>
                      </c:pt>
                      <c:pt idx="83" c:formatCode="dd/mm/yy;@">
                        <c:v>46199</c:v>
                      </c:pt>
                      <c:pt idx="84" c:formatCode="dd/mm/yy;@">
                        <c:v>46206</c:v>
                      </c:pt>
                      <c:pt idx="85" c:formatCode="dd/mm/yy;@">
                        <c:v>46213</c:v>
                      </c:pt>
                      <c:pt idx="86" c:formatCode="dd/mm/yy;@">
                        <c:v>46220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GII!#REF!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GII!$C$90:$C$176</c15:sqref>
                        </c15:formulaRef>
                      </c:ext>
                    </c:extLst>
                    <c:numCache>
                      <c:formatCode>dd/mm/yy;@</c:formatCode>
                      <c:ptCount val="87"/>
                      <c:pt idx="0" c:formatCode="dd/mm/yy;@">
                        <c:v>45470</c:v>
                      </c:pt>
                      <c:pt idx="1" c:formatCode="dd/mm/yy;@">
                        <c:v>45477</c:v>
                      </c:pt>
                      <c:pt idx="2" c:formatCode="dd/mm/yy;@">
                        <c:v>45484</c:v>
                      </c:pt>
                      <c:pt idx="3" c:formatCode="dd/mm/yy;@">
                        <c:v>45491</c:v>
                      </c:pt>
                      <c:pt idx="4" c:formatCode="dd/mm/yy;@">
                        <c:v>45498</c:v>
                      </c:pt>
                      <c:pt idx="5" c:formatCode="dd/mm/yy;@">
                        <c:v>45505</c:v>
                      </c:pt>
                      <c:pt idx="6" c:formatCode="dd/mm/yy;@">
                        <c:v>45512</c:v>
                      </c:pt>
                      <c:pt idx="7" c:formatCode="dd/mm/yy;@">
                        <c:v>45519</c:v>
                      </c:pt>
                      <c:pt idx="8" c:formatCode="dd/mm/yy;@">
                        <c:v>45547</c:v>
                      </c:pt>
                      <c:pt idx="9" c:formatCode="dd/mm/yy;@">
                        <c:v>45554</c:v>
                      </c:pt>
                      <c:pt idx="10" c:formatCode="dd/mm/yy;@">
                        <c:v>45561</c:v>
                      </c:pt>
                      <c:pt idx="11" c:formatCode="dd/mm/yy;@">
                        <c:v>45568</c:v>
                      </c:pt>
                      <c:pt idx="12" c:formatCode="dd/mm/yy;@">
                        <c:v>45575</c:v>
                      </c:pt>
                      <c:pt idx="13" c:formatCode="dd/mm/yy;@">
                        <c:v>45582</c:v>
                      </c:pt>
                      <c:pt idx="14" c:formatCode="dd/mm/yy;@">
                        <c:v>45589</c:v>
                      </c:pt>
                      <c:pt idx="15" c:formatCode="dd/mm/yy;@">
                        <c:v>45596</c:v>
                      </c:pt>
                      <c:pt idx="16" c:formatCode="dd/mm/yy;@">
                        <c:v>45603</c:v>
                      </c:pt>
                      <c:pt idx="17" c:formatCode="dd/mm/yy;@">
                        <c:v>45610</c:v>
                      </c:pt>
                      <c:pt idx="18" c:formatCode="dd/mm/yy;@">
                        <c:v>45617</c:v>
                      </c:pt>
                      <c:pt idx="19" c:formatCode="dd/mm/yy;@">
                        <c:v>45624</c:v>
                      </c:pt>
                      <c:pt idx="20" c:formatCode="dd/mm/yy;@">
                        <c:v>45631</c:v>
                      </c:pt>
                      <c:pt idx="21" c:formatCode="dd/mm/yy;@">
                        <c:v>45638</c:v>
                      </c:pt>
                      <c:pt idx="22" c:formatCode="dd/mm/yy;@">
                        <c:v>45645</c:v>
                      </c:pt>
                      <c:pt idx="23" c:formatCode="dd/mm/yy;@">
                        <c:v>45652</c:v>
                      </c:pt>
                      <c:pt idx="24" c:formatCode="dd/mm/yy;@">
                        <c:v>45659</c:v>
                      </c:pt>
                      <c:pt idx="25" c:formatCode="dd/mm/yy;@">
                        <c:v>45666</c:v>
                      </c:pt>
                      <c:pt idx="26" c:formatCode="dd/mm/yy;@">
                        <c:v>45673</c:v>
                      </c:pt>
                      <c:pt idx="27" c:formatCode="dd/mm/yy;@">
                        <c:v>45680</c:v>
                      </c:pt>
                      <c:pt idx="28" c:formatCode="dd/mm/yy;@">
                        <c:v>45687</c:v>
                      </c:pt>
                      <c:pt idx="29" c:formatCode="dd/mm/yy;@">
                        <c:v>45694</c:v>
                      </c:pt>
                      <c:pt idx="30" c:formatCode="dd/mm/yy;@">
                        <c:v>45701</c:v>
                      </c:pt>
                      <c:pt idx="31" c:formatCode="dd/mm/yy;@">
                        <c:v>45708</c:v>
                      </c:pt>
                      <c:pt idx="32" c:formatCode="dd/mm/yy;@">
                        <c:v>45715</c:v>
                      </c:pt>
                      <c:pt idx="33" c:formatCode="dd/mm/yy;@">
                        <c:v>45694</c:v>
                      </c:pt>
                      <c:pt idx="34" c:formatCode="dd/mm/yy;@">
                        <c:v>45730</c:v>
                      </c:pt>
                      <c:pt idx="35" c:formatCode="dd/mm/yy;@">
                        <c:v>45736</c:v>
                      </c:pt>
                      <c:pt idx="36" c:formatCode="dd/mm/yy;@">
                        <c:v>45743</c:v>
                      </c:pt>
                      <c:pt idx="37" c:formatCode="dd/mm/yy;@">
                        <c:v>45750</c:v>
                      </c:pt>
                      <c:pt idx="38" c:formatCode="dd/mm/yy;@">
                        <c:v>45757</c:v>
                      </c:pt>
                      <c:pt idx="39" c:formatCode="dd/mm/yy;@">
                        <c:v>45764</c:v>
                      </c:pt>
                      <c:pt idx="40" c:formatCode="dd/mm/yy;@">
                        <c:v>45771</c:v>
                      </c:pt>
                      <c:pt idx="41" c:formatCode="dd/mm/yy;@">
                        <c:v>45779</c:v>
                      </c:pt>
                      <c:pt idx="42" c:formatCode="dd/mm/yy;@">
                        <c:v>45792</c:v>
                      </c:pt>
                      <c:pt idx="43" c:formatCode="dd/mm/yy;@">
                        <c:v>45799</c:v>
                      </c:pt>
                      <c:pt idx="44" c:formatCode="dd/mm/yy;@">
                        <c:v>45806</c:v>
                      </c:pt>
                      <c:pt idx="45" c:formatCode="dd/mm/yy;@">
                        <c:v>45820</c:v>
                      </c:pt>
                      <c:pt idx="46" c:formatCode="dd/mm/yy;@">
                        <c:v>45827</c:v>
                      </c:pt>
                      <c:pt idx="47" c:formatCode="dd/mm/yy;@">
                        <c:v>45842</c:v>
                      </c:pt>
                      <c:pt idx="48" c:formatCode="dd/mm/yy;@">
                        <c:v>45848</c:v>
                      </c:pt>
                      <c:pt idx="49" c:formatCode="dd/mm/yy;@">
                        <c:v>45856</c:v>
                      </c:pt>
                      <c:pt idx="50" c:formatCode="dd/mm/yy;@">
                        <c:v>45863</c:v>
                      </c:pt>
                      <c:pt idx="51" c:formatCode="dd/mm/yy;@">
                        <c:v>45880</c:v>
                      </c:pt>
                      <c:pt idx="52" c:formatCode="dd/mm/yy;@">
                        <c:v>45891</c:v>
                      </c:pt>
                      <c:pt idx="53" c:formatCode="dd/mm/yy;@">
                        <c:v>45919</c:v>
                      </c:pt>
                      <c:pt idx="54" c:formatCode="dd/mm/yy;@">
                        <c:v>45925</c:v>
                      </c:pt>
                      <c:pt idx="55" c:formatCode="dd/mm/yy;@">
                        <c:v>45933</c:v>
                      </c:pt>
                      <c:pt idx="56" c:formatCode="dd/mm/yy;@">
                        <c:v>45940</c:v>
                      </c:pt>
                      <c:pt idx="57" c:formatCode="dd/mm/yy;@">
                        <c:v>45947</c:v>
                      </c:pt>
                      <c:pt idx="58" c:formatCode="dd/mm/yy;@">
                        <c:v>45952</c:v>
                      </c:pt>
                      <c:pt idx="59" c:formatCode="dd/mm/yy;@">
                        <c:v>45961</c:v>
                      </c:pt>
                      <c:pt idx="60" c:formatCode="dd/mm/yy;@">
                        <c:v>45968</c:v>
                      </c:pt>
                      <c:pt idx="61" c:formatCode="dd/mm/yy;@">
                        <c:v>45975</c:v>
                      </c:pt>
                      <c:pt idx="62" c:formatCode="dd/mm/yy;@">
                        <c:v>45982</c:v>
                      </c:pt>
                      <c:pt idx="63" c:formatCode="dd/mm/yy;@">
                        <c:v>45989</c:v>
                      </c:pt>
                      <c:pt idx="64" c:formatCode="dd/mm/yy;@">
                        <c:v>45996</c:v>
                      </c:pt>
                      <c:pt idx="65" c:formatCode="dd/mm/yy;@">
                        <c:v>46003</c:v>
                      </c:pt>
                      <c:pt idx="66" c:formatCode="dd/mm/yy;@">
                        <c:v>46010</c:v>
                      </c:pt>
                      <c:pt idx="67" c:formatCode="dd/mm/yy;@">
                        <c:v>46017</c:v>
                      </c:pt>
                      <c:pt idx="68" c:formatCode="dd/mm/yy;@">
                        <c:v>46030</c:v>
                      </c:pt>
                      <c:pt idx="69" c:formatCode="dd/mm/yy;@">
                        <c:v>46042</c:v>
                      </c:pt>
                      <c:pt idx="70" c:formatCode="dd/mm/yy;@">
                        <c:v>46051</c:v>
                      </c:pt>
                      <c:pt idx="71" c:formatCode="dd/mm/yy;@">
                        <c:v>46066</c:v>
                      </c:pt>
                      <c:pt idx="72" c:formatCode="dd/mm/yy;@">
                        <c:v>46080</c:v>
                      </c:pt>
                      <c:pt idx="73" c:formatCode="dd/mm/yy;@">
                        <c:v>46087</c:v>
                      </c:pt>
                      <c:pt idx="74" c:formatCode="dd/mm/yy;@">
                        <c:v>46094</c:v>
                      </c:pt>
                      <c:pt idx="75" c:formatCode="dd/mm/yy;@">
                        <c:v>46114</c:v>
                      </c:pt>
                      <c:pt idx="76" c:formatCode="dd/mm/yy;@">
                        <c:v>46125</c:v>
                      </c:pt>
                      <c:pt idx="77" c:formatCode="dd/mm/yy;@">
                        <c:v>46136</c:v>
                      </c:pt>
                      <c:pt idx="78" c:formatCode="dd/mm/yy;@">
                        <c:v>46150</c:v>
                      </c:pt>
                      <c:pt idx="79" c:formatCode="dd/mm/yy;@">
                        <c:v>46157</c:v>
                      </c:pt>
                      <c:pt idx="80" c:formatCode="dd/mm/yy;@">
                        <c:v>46177</c:v>
                      </c:pt>
                      <c:pt idx="81" c:formatCode="dd/mm/yy;@">
                        <c:v>46185</c:v>
                      </c:pt>
                      <c:pt idx="82" c:formatCode="dd/mm/yy;@">
                        <c:v>46192</c:v>
                      </c:pt>
                      <c:pt idx="83" c:formatCode="dd/mm/yy;@">
                        <c:v>46199</c:v>
                      </c:pt>
                      <c:pt idx="84" c:formatCode="dd/mm/yy;@">
                        <c:v>46206</c:v>
                      </c:pt>
                      <c:pt idx="85" c:formatCode="dd/mm/yy;@">
                        <c:v>46213</c:v>
                      </c:pt>
                      <c:pt idx="86" c:formatCode="dd/mm/yy;@">
                        <c:v>46220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GII!#REF!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6774414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742504"/>
        <c:crosses val="autoZero"/>
        <c:auto val="1"/>
        <c:lblOffset val="100"/>
        <c:baseTimeUnit val="days"/>
      </c:dateAx>
      <c:valAx>
        <c:axId val="66774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74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ae1268-e37b-41de-9591-d1c9ad3348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IMPAYES LAHCEN</a:t>
            </a:r>
            <a:endParaRPr lang="fr-FR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70697478387474"/>
          <c:y val="0.230798799459569"/>
          <c:w val="0.916870728646807"/>
          <c:h val="0.58073828943113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LAHCEN!$C$27:$C$67</c:f>
              <c:numCache>
                <c:formatCode>dd/mm/yy;@</c:formatCode>
                <c:ptCount val="41"/>
                <c:pt idx="0" c:formatCode="dd/mm/yy;@">
                  <c:v>45827</c:v>
                </c:pt>
                <c:pt idx="1" c:formatCode="dd/mm/yy;@">
                  <c:v>45842</c:v>
                </c:pt>
                <c:pt idx="2" c:formatCode="dd/mm/yy;@">
                  <c:v>45848</c:v>
                </c:pt>
                <c:pt idx="3" c:formatCode="dd/mm/yy;@">
                  <c:v>45856</c:v>
                </c:pt>
                <c:pt idx="4" c:formatCode="dd/mm/yy;@">
                  <c:v>45863</c:v>
                </c:pt>
                <c:pt idx="5" c:formatCode="dd/mm/yy;@">
                  <c:v>45880</c:v>
                </c:pt>
                <c:pt idx="6" c:formatCode="dd/mm/yy;@">
                  <c:v>45891</c:v>
                </c:pt>
                <c:pt idx="7" c:formatCode="dd/mm/yy;@">
                  <c:v>45919</c:v>
                </c:pt>
                <c:pt idx="8" c:formatCode="dd/mm/yy;@">
                  <c:v>45925</c:v>
                </c:pt>
                <c:pt idx="9" c:formatCode="dd/mm/yy;@">
                  <c:v>45933</c:v>
                </c:pt>
                <c:pt idx="10" c:formatCode="dd/mm/yy;@">
                  <c:v>45940</c:v>
                </c:pt>
                <c:pt idx="11" c:formatCode="dd/mm/yy;@">
                  <c:v>45947</c:v>
                </c:pt>
                <c:pt idx="12" c:formatCode="dd/mm/yy;@">
                  <c:v>45952</c:v>
                </c:pt>
                <c:pt idx="13" c:formatCode="dd/mm/yy;@">
                  <c:v>45961</c:v>
                </c:pt>
                <c:pt idx="14" c:formatCode="dd/mm/yy;@">
                  <c:v>45968</c:v>
                </c:pt>
                <c:pt idx="15" c:formatCode="dd/mm/yy;@">
                  <c:v>45975</c:v>
                </c:pt>
                <c:pt idx="16" c:formatCode="dd/mm/yy;@">
                  <c:v>45982</c:v>
                </c:pt>
                <c:pt idx="17" c:formatCode="dd/mm/yy;@">
                  <c:v>45989</c:v>
                </c:pt>
                <c:pt idx="18" c:formatCode="dd/mm/yy;@">
                  <c:v>45996</c:v>
                </c:pt>
                <c:pt idx="19" c:formatCode="dd/mm/yy;@">
                  <c:v>46003</c:v>
                </c:pt>
                <c:pt idx="20" c:formatCode="dd/mm/yy;@">
                  <c:v>46010</c:v>
                </c:pt>
                <c:pt idx="21" c:formatCode="dd/mm/yy;@">
                  <c:v>46017</c:v>
                </c:pt>
                <c:pt idx="22" c:formatCode="dd/mm/yy;@">
                  <c:v>46030</c:v>
                </c:pt>
                <c:pt idx="23" c:formatCode="dd/mm/yy;@">
                  <c:v>46042</c:v>
                </c:pt>
                <c:pt idx="24" c:formatCode="dd/mm/yy;@">
                  <c:v>46051</c:v>
                </c:pt>
                <c:pt idx="25" c:formatCode="dd/mm/yy;@">
                  <c:v>46066</c:v>
                </c:pt>
                <c:pt idx="26" c:formatCode="dd/mm/yy;@">
                  <c:v>46080</c:v>
                </c:pt>
                <c:pt idx="27" c:formatCode="dd/mm/yy;@">
                  <c:v>46087</c:v>
                </c:pt>
                <c:pt idx="28" c:formatCode="dd/mm/yy;@">
                  <c:v>46094</c:v>
                </c:pt>
                <c:pt idx="29" c:formatCode="dd/mm/yy;@">
                  <c:v>46114</c:v>
                </c:pt>
                <c:pt idx="30" c:formatCode="dd/mm/yy;@">
                  <c:v>46125</c:v>
                </c:pt>
                <c:pt idx="31" c:formatCode="dd/mm/yy;@">
                  <c:v>46136</c:v>
                </c:pt>
                <c:pt idx="32" c:formatCode="dd/mm/yy;@">
                  <c:v>46150</c:v>
                </c:pt>
                <c:pt idx="33" c:formatCode="dd/mm/yy;@">
                  <c:v>46157</c:v>
                </c:pt>
                <c:pt idx="34" c:formatCode="dd/mm/yy;@">
                  <c:v>46177</c:v>
                </c:pt>
                <c:pt idx="35" c:formatCode="dd/mm/yy;@">
                  <c:v>46185</c:v>
                </c:pt>
                <c:pt idx="36" c:formatCode="dd/mm/yy;@">
                  <c:v>46192</c:v>
                </c:pt>
                <c:pt idx="37" c:formatCode="dd/mm/yy;@">
                  <c:v>46199</c:v>
                </c:pt>
                <c:pt idx="38" c:formatCode="dd/mm/yy;@">
                  <c:v>46206</c:v>
                </c:pt>
                <c:pt idx="39" c:formatCode="dd/mm/yy;@">
                  <c:v>46213</c:v>
                </c:pt>
                <c:pt idx="40" c:formatCode="dd/mm/yy;@">
                  <c:v>46220</c:v>
                </c:pt>
              </c:numCache>
            </c:numRef>
          </c:cat>
          <c:val>
            <c:numRef>
              <c:f>LAHCEN!$D$27:$D$67</c:f>
              <c:numCache>
                <c:formatCode>#,##0.00</c:formatCode>
                <c:ptCount val="41"/>
                <c:pt idx="0">
                  <c:v>128900</c:v>
                </c:pt>
                <c:pt idx="1">
                  <c:v>138780</c:v>
                </c:pt>
                <c:pt idx="2">
                  <c:v>197753</c:v>
                </c:pt>
                <c:pt idx="3">
                  <c:v>352988.52</c:v>
                </c:pt>
                <c:pt idx="4">
                  <c:v>437988.52</c:v>
                </c:pt>
                <c:pt idx="5">
                  <c:v>520602.79</c:v>
                </c:pt>
                <c:pt idx="6">
                  <c:v>520602.79</c:v>
                </c:pt>
                <c:pt idx="7">
                  <c:v>592007.79</c:v>
                </c:pt>
                <c:pt idx="8">
                  <c:v>512325.27</c:v>
                </c:pt>
                <c:pt idx="9">
                  <c:v>448772.27</c:v>
                </c:pt>
                <c:pt idx="10">
                  <c:v>394772.27</c:v>
                </c:pt>
                <c:pt idx="11">
                  <c:v>334085.27</c:v>
                </c:pt>
                <c:pt idx="12">
                  <c:v>334085.27</c:v>
                </c:pt>
                <c:pt idx="13">
                  <c:v>251927.27</c:v>
                </c:pt>
                <c:pt idx="14">
                  <c:v>225547.27</c:v>
                </c:pt>
                <c:pt idx="15">
                  <c:v>144927.27</c:v>
                </c:pt>
                <c:pt idx="16">
                  <c:v>119767.27</c:v>
                </c:pt>
                <c:pt idx="17">
                  <c:v>112767.27</c:v>
                </c:pt>
                <c:pt idx="18">
                  <c:v>104367.27</c:v>
                </c:pt>
                <c:pt idx="19">
                  <c:v>64367.27</c:v>
                </c:pt>
                <c:pt idx="20">
                  <c:v>64367.27</c:v>
                </c:pt>
                <c:pt idx="21">
                  <c:v>104390.14</c:v>
                </c:pt>
                <c:pt idx="22">
                  <c:v>160556.62</c:v>
                </c:pt>
                <c:pt idx="23">
                  <c:v>80556.62</c:v>
                </c:pt>
                <c:pt idx="24">
                  <c:v>160331.51</c:v>
                </c:pt>
                <c:pt idx="25">
                  <c:v>188697.76</c:v>
                </c:pt>
                <c:pt idx="26">
                  <c:v>148697.76</c:v>
                </c:pt>
                <c:pt idx="27">
                  <c:v>63102.87</c:v>
                </c:pt>
                <c:pt idx="28">
                  <c:v>85702.87</c:v>
                </c:pt>
                <c:pt idx="29">
                  <c:v>85702.87</c:v>
                </c:pt>
                <c:pt idx="30">
                  <c:v>299198.17</c:v>
                </c:pt>
                <c:pt idx="31">
                  <c:v>186398.17</c:v>
                </c:pt>
                <c:pt idx="32">
                  <c:v>186398.17</c:v>
                </c:pt>
                <c:pt idx="33">
                  <c:v>244198.17</c:v>
                </c:pt>
                <c:pt idx="34">
                  <c:v>242037.3</c:v>
                </c:pt>
                <c:pt idx="35">
                  <c:v>219837.3</c:v>
                </c:pt>
                <c:pt idx="36">
                  <c:v>217037.3</c:v>
                </c:pt>
                <c:pt idx="37">
                  <c:v>232057.3</c:v>
                </c:pt>
                <c:pt idx="38">
                  <c:v>193057.3</c:v>
                </c:pt>
                <c:pt idx="39">
                  <c:v>247037.3</c:v>
                </c:pt>
                <c:pt idx="40">
                  <c:v>158237.3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2005368"/>
        <c:axId val="762221808"/>
      </c:lineChart>
      <c:dateAx>
        <c:axId val="392005368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221808"/>
        <c:crosses val="autoZero"/>
        <c:auto val="1"/>
        <c:lblOffset val="100"/>
        <c:baseTimeUnit val="days"/>
      </c:dateAx>
      <c:valAx>
        <c:axId val="7622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005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34e483-942d-4c64-bdf6-5c78264bff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44643557486349"/>
          <c:y val="0.0764958993592135"/>
          <c:w val="0.827641153223921"/>
          <c:h val="0.679236419958576"/>
        </c:manualLayout>
      </c:layout>
      <c:lineChart>
        <c:grouping val="standard"/>
        <c:varyColors val="0"/>
        <c:ser>
          <c:idx val="0"/>
          <c:order val="0"/>
          <c:tx>
            <c:strRef>
              <c:f>RACHID!$D$65</c:f>
              <c:strCache>
                <c:ptCount val="1"/>
                <c:pt idx="0">
                  <c:v>TOTAL IMPAYES RACHID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RACHID!$C$66:$C$106</c:f>
              <c:numCache>
                <c:formatCode>dd/mm/yy;@</c:formatCode>
                <c:ptCount val="41"/>
                <c:pt idx="0" c:formatCode="dd/mm/yy;@">
                  <c:v>45827</c:v>
                </c:pt>
                <c:pt idx="1" c:formatCode="dd/mm/yy;@">
                  <c:v>45842</c:v>
                </c:pt>
                <c:pt idx="2" c:formatCode="dd/mm/yy;@">
                  <c:v>45848</c:v>
                </c:pt>
                <c:pt idx="3" c:formatCode="dd/mm/yy;@">
                  <c:v>45856</c:v>
                </c:pt>
                <c:pt idx="4" c:formatCode="dd/mm/yy;@">
                  <c:v>45863</c:v>
                </c:pt>
                <c:pt idx="5" c:formatCode="dd/mm/yy;@">
                  <c:v>45880</c:v>
                </c:pt>
                <c:pt idx="6" c:formatCode="dd/mm/yy;@">
                  <c:v>45891</c:v>
                </c:pt>
                <c:pt idx="7" c:formatCode="dd/mm/yy;@">
                  <c:v>45919</c:v>
                </c:pt>
                <c:pt idx="8" c:formatCode="dd/mm/yy;@">
                  <c:v>45925</c:v>
                </c:pt>
                <c:pt idx="9" c:formatCode="dd/mm/yy;@">
                  <c:v>45933</c:v>
                </c:pt>
                <c:pt idx="10" c:formatCode="dd/mm/yy;@">
                  <c:v>45940</c:v>
                </c:pt>
                <c:pt idx="11" c:formatCode="dd/mm/yy;@">
                  <c:v>45947</c:v>
                </c:pt>
                <c:pt idx="12" c:formatCode="dd/mm/yy;@">
                  <c:v>45952</c:v>
                </c:pt>
                <c:pt idx="13" c:formatCode="dd/mm/yy;@">
                  <c:v>45961</c:v>
                </c:pt>
                <c:pt idx="14" c:formatCode="dd/mm/yy;@">
                  <c:v>45968</c:v>
                </c:pt>
                <c:pt idx="15" c:formatCode="dd/mm/yy;@">
                  <c:v>45975</c:v>
                </c:pt>
                <c:pt idx="16" c:formatCode="dd/mm/yy;@">
                  <c:v>45982</c:v>
                </c:pt>
                <c:pt idx="17" c:formatCode="dd/mm/yy;@">
                  <c:v>45989</c:v>
                </c:pt>
                <c:pt idx="18" c:formatCode="dd/mm/yy;@">
                  <c:v>45996</c:v>
                </c:pt>
                <c:pt idx="19" c:formatCode="dd/mm/yy;@">
                  <c:v>46003</c:v>
                </c:pt>
                <c:pt idx="20" c:formatCode="dd/mm/yy;@">
                  <c:v>46010</c:v>
                </c:pt>
                <c:pt idx="21" c:formatCode="dd/mm/yy;@">
                  <c:v>46017</c:v>
                </c:pt>
                <c:pt idx="22" c:formatCode="dd/mm/yy;@">
                  <c:v>46030</c:v>
                </c:pt>
                <c:pt idx="23" c:formatCode="dd/mm/yy;@">
                  <c:v>46042</c:v>
                </c:pt>
                <c:pt idx="24" c:formatCode="dd/mm/yy;@">
                  <c:v>46051</c:v>
                </c:pt>
                <c:pt idx="25" c:formatCode="dd/mm/yy;@">
                  <c:v>46066</c:v>
                </c:pt>
                <c:pt idx="26" c:formatCode="dd/mm/yy;@">
                  <c:v>46080</c:v>
                </c:pt>
                <c:pt idx="27" c:formatCode="dd/mm/yy;@">
                  <c:v>46087</c:v>
                </c:pt>
                <c:pt idx="28" c:formatCode="dd/mm/yy;@">
                  <c:v>46094</c:v>
                </c:pt>
                <c:pt idx="29" c:formatCode="dd/mm/yy;@">
                  <c:v>46114</c:v>
                </c:pt>
                <c:pt idx="30" c:formatCode="dd/mm/yy;@">
                  <c:v>46125</c:v>
                </c:pt>
                <c:pt idx="31" c:formatCode="dd/mm/yy;@">
                  <c:v>46136</c:v>
                </c:pt>
                <c:pt idx="32" c:formatCode="dd/mm/yy;@">
                  <c:v>46150</c:v>
                </c:pt>
                <c:pt idx="33" c:formatCode="dd/mm/yy;@">
                  <c:v>46157</c:v>
                </c:pt>
                <c:pt idx="34" c:formatCode="dd/mm/yy;@">
                  <c:v>46177</c:v>
                </c:pt>
                <c:pt idx="35" c:formatCode="dd/mm/yy;@">
                  <c:v>46185</c:v>
                </c:pt>
                <c:pt idx="36" c:formatCode="dd/mm/yy;@">
                  <c:v>46192</c:v>
                </c:pt>
                <c:pt idx="37" c:formatCode="dd/mm/yy;@">
                  <c:v>46199</c:v>
                </c:pt>
                <c:pt idx="38" c:formatCode="dd/mm/yy;@">
                  <c:v>46206</c:v>
                </c:pt>
                <c:pt idx="39" c:formatCode="dd/mm/yy;@">
                  <c:v>46213</c:v>
                </c:pt>
                <c:pt idx="40" c:formatCode="dd/mm/yy;@">
                  <c:v>46220</c:v>
                </c:pt>
              </c:numCache>
            </c:numRef>
          </c:cat>
          <c:val>
            <c:numRef>
              <c:f>RACHID!$D$66:$D$106</c:f>
              <c:numCache>
                <c:formatCode>#,##0.00</c:formatCode>
                <c:ptCount val="41"/>
                <c:pt idx="0">
                  <c:v>1493552.73</c:v>
                </c:pt>
                <c:pt idx="1">
                  <c:v>1513462.73</c:v>
                </c:pt>
                <c:pt idx="2">
                  <c:v>1407062.73</c:v>
                </c:pt>
                <c:pt idx="3">
                  <c:v>1420262.73</c:v>
                </c:pt>
                <c:pt idx="4">
                  <c:v>1401302.73</c:v>
                </c:pt>
                <c:pt idx="5">
                  <c:v>1254392.73</c:v>
                </c:pt>
                <c:pt idx="6">
                  <c:v>1304250.73</c:v>
                </c:pt>
                <c:pt idx="7">
                  <c:v>1350149.73</c:v>
                </c:pt>
                <c:pt idx="8">
                  <c:v>1365149.73</c:v>
                </c:pt>
                <c:pt idx="9">
                  <c:v>1340051.73</c:v>
                </c:pt>
                <c:pt idx="10">
                  <c:v>1280051.73</c:v>
                </c:pt>
                <c:pt idx="11">
                  <c:v>1330051.73</c:v>
                </c:pt>
                <c:pt idx="12" c:formatCode="General">
                  <c:v>1280051.73</c:v>
                </c:pt>
                <c:pt idx="13">
                  <c:v>1416616.73</c:v>
                </c:pt>
                <c:pt idx="14">
                  <c:v>1350116.73</c:v>
                </c:pt>
                <c:pt idx="15">
                  <c:v>1389716.73</c:v>
                </c:pt>
                <c:pt idx="16">
                  <c:v>1394616.73</c:v>
                </c:pt>
                <c:pt idx="17">
                  <c:v>1459716.79</c:v>
                </c:pt>
                <c:pt idx="18">
                  <c:v>1624916.73</c:v>
                </c:pt>
                <c:pt idx="19">
                  <c:v>1625616.73</c:v>
                </c:pt>
                <c:pt idx="20">
                  <c:v>1635616.73</c:v>
                </c:pt>
                <c:pt idx="21">
                  <c:v>1950616.73</c:v>
                </c:pt>
                <c:pt idx="22">
                  <c:v>2172846.73</c:v>
                </c:pt>
                <c:pt idx="23">
                  <c:v>1799623.39</c:v>
                </c:pt>
                <c:pt idx="24">
                  <c:v>1941566.73</c:v>
                </c:pt>
                <c:pt idx="25">
                  <c:v>1903230.73</c:v>
                </c:pt>
                <c:pt idx="26">
                  <c:v>1781987.39</c:v>
                </c:pt>
                <c:pt idx="27">
                  <c:v>1705323.39</c:v>
                </c:pt>
                <c:pt idx="28">
                  <c:v>1827287.39</c:v>
                </c:pt>
                <c:pt idx="29">
                  <c:v>1736034.38</c:v>
                </c:pt>
                <c:pt idx="30">
                  <c:v>1779534.38</c:v>
                </c:pt>
                <c:pt idx="31">
                  <c:v>1285797.39</c:v>
                </c:pt>
                <c:pt idx="32">
                  <c:v>1295797.39</c:v>
                </c:pt>
                <c:pt idx="33">
                  <c:v>1265797.39</c:v>
                </c:pt>
                <c:pt idx="34">
                  <c:v>1384961.39</c:v>
                </c:pt>
                <c:pt idx="35">
                  <c:v>1384961.39</c:v>
                </c:pt>
                <c:pt idx="36">
                  <c:v>1349961.39</c:v>
                </c:pt>
                <c:pt idx="37">
                  <c:v>1410961.39</c:v>
                </c:pt>
                <c:pt idx="38">
                  <c:v>1410961.39</c:v>
                </c:pt>
                <c:pt idx="39">
                  <c:v>1447961.39</c:v>
                </c:pt>
                <c:pt idx="40">
                  <c:v>1479362.39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3933536"/>
        <c:axId val="8139342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RACHID!$E$65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RACHID!$C$66:$C$106</c15:sqref>
                        </c15:formulaRef>
                      </c:ext>
                    </c:extLst>
                    <c:numCache>
                      <c:formatCode>dd/mm/yy;@</c:formatCode>
                      <c:ptCount val="41"/>
                      <c:pt idx="0" c:formatCode="dd/mm/yy;@">
                        <c:v>45827</c:v>
                      </c:pt>
                      <c:pt idx="1" c:formatCode="dd/mm/yy;@">
                        <c:v>45842</c:v>
                      </c:pt>
                      <c:pt idx="2" c:formatCode="dd/mm/yy;@">
                        <c:v>45848</c:v>
                      </c:pt>
                      <c:pt idx="3" c:formatCode="dd/mm/yy;@">
                        <c:v>45856</c:v>
                      </c:pt>
                      <c:pt idx="4" c:formatCode="dd/mm/yy;@">
                        <c:v>45863</c:v>
                      </c:pt>
                      <c:pt idx="5" c:formatCode="dd/mm/yy;@">
                        <c:v>45880</c:v>
                      </c:pt>
                      <c:pt idx="6" c:formatCode="dd/mm/yy;@">
                        <c:v>45891</c:v>
                      </c:pt>
                      <c:pt idx="7" c:formatCode="dd/mm/yy;@">
                        <c:v>45919</c:v>
                      </c:pt>
                      <c:pt idx="8" c:formatCode="dd/mm/yy;@">
                        <c:v>45925</c:v>
                      </c:pt>
                      <c:pt idx="9" c:formatCode="dd/mm/yy;@">
                        <c:v>45933</c:v>
                      </c:pt>
                      <c:pt idx="10" c:formatCode="dd/mm/yy;@">
                        <c:v>45940</c:v>
                      </c:pt>
                      <c:pt idx="11" c:formatCode="dd/mm/yy;@">
                        <c:v>45947</c:v>
                      </c:pt>
                      <c:pt idx="12" c:formatCode="dd/mm/yy;@">
                        <c:v>45952</c:v>
                      </c:pt>
                      <c:pt idx="13" c:formatCode="dd/mm/yy;@">
                        <c:v>45961</c:v>
                      </c:pt>
                      <c:pt idx="14" c:formatCode="dd/mm/yy;@">
                        <c:v>45968</c:v>
                      </c:pt>
                      <c:pt idx="15" c:formatCode="dd/mm/yy;@">
                        <c:v>45975</c:v>
                      </c:pt>
                      <c:pt idx="16" c:formatCode="dd/mm/yy;@">
                        <c:v>45982</c:v>
                      </c:pt>
                      <c:pt idx="17" c:formatCode="dd/mm/yy;@">
                        <c:v>45989</c:v>
                      </c:pt>
                      <c:pt idx="18" c:formatCode="dd/mm/yy;@">
                        <c:v>45996</c:v>
                      </c:pt>
                      <c:pt idx="19" c:formatCode="dd/mm/yy;@">
                        <c:v>46003</c:v>
                      </c:pt>
                      <c:pt idx="20" c:formatCode="dd/mm/yy;@">
                        <c:v>46010</c:v>
                      </c:pt>
                      <c:pt idx="21" c:formatCode="dd/mm/yy;@">
                        <c:v>46017</c:v>
                      </c:pt>
                      <c:pt idx="22" c:formatCode="dd/mm/yy;@">
                        <c:v>46030</c:v>
                      </c:pt>
                      <c:pt idx="23" c:formatCode="dd/mm/yy;@">
                        <c:v>46042</c:v>
                      </c:pt>
                      <c:pt idx="24" c:formatCode="dd/mm/yy;@">
                        <c:v>46051</c:v>
                      </c:pt>
                      <c:pt idx="25" c:formatCode="dd/mm/yy;@">
                        <c:v>46066</c:v>
                      </c:pt>
                      <c:pt idx="26" c:formatCode="dd/mm/yy;@">
                        <c:v>46080</c:v>
                      </c:pt>
                      <c:pt idx="27" c:formatCode="dd/mm/yy;@">
                        <c:v>46087</c:v>
                      </c:pt>
                      <c:pt idx="28" c:formatCode="dd/mm/yy;@">
                        <c:v>46094</c:v>
                      </c:pt>
                      <c:pt idx="29" c:formatCode="dd/mm/yy;@">
                        <c:v>46114</c:v>
                      </c:pt>
                      <c:pt idx="30" c:formatCode="dd/mm/yy;@">
                        <c:v>46125</c:v>
                      </c:pt>
                      <c:pt idx="31" c:formatCode="dd/mm/yy;@">
                        <c:v>46136</c:v>
                      </c:pt>
                      <c:pt idx="32" c:formatCode="dd/mm/yy;@">
                        <c:v>46150</c:v>
                      </c:pt>
                      <c:pt idx="33" c:formatCode="dd/mm/yy;@">
                        <c:v>46157</c:v>
                      </c:pt>
                      <c:pt idx="34" c:formatCode="dd/mm/yy;@">
                        <c:v>46177</c:v>
                      </c:pt>
                      <c:pt idx="35" c:formatCode="dd/mm/yy;@">
                        <c:v>46185</c:v>
                      </c:pt>
                      <c:pt idx="36" c:formatCode="dd/mm/yy;@">
                        <c:v>46192</c:v>
                      </c:pt>
                      <c:pt idx="37" c:formatCode="dd/mm/yy;@">
                        <c:v>46199</c:v>
                      </c:pt>
                      <c:pt idx="38" c:formatCode="dd/mm/yy;@">
                        <c:v>46206</c:v>
                      </c:pt>
                      <c:pt idx="39" c:formatCode="dd/mm/yy;@">
                        <c:v>46213</c:v>
                      </c:pt>
                      <c:pt idx="40" c:formatCode="dd/mm/yy;@">
                        <c:v>46220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RACHID!#REF!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RACHID!$F$65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RACHID!$C$66:$C$106</c15:sqref>
                        </c15:formulaRef>
                      </c:ext>
                    </c:extLst>
                    <c:numCache>
                      <c:formatCode>dd/mm/yy;@</c:formatCode>
                      <c:ptCount val="41"/>
                      <c:pt idx="0" c:formatCode="dd/mm/yy;@">
                        <c:v>45827</c:v>
                      </c:pt>
                      <c:pt idx="1" c:formatCode="dd/mm/yy;@">
                        <c:v>45842</c:v>
                      </c:pt>
                      <c:pt idx="2" c:formatCode="dd/mm/yy;@">
                        <c:v>45848</c:v>
                      </c:pt>
                      <c:pt idx="3" c:formatCode="dd/mm/yy;@">
                        <c:v>45856</c:v>
                      </c:pt>
                      <c:pt idx="4" c:formatCode="dd/mm/yy;@">
                        <c:v>45863</c:v>
                      </c:pt>
                      <c:pt idx="5" c:formatCode="dd/mm/yy;@">
                        <c:v>45880</c:v>
                      </c:pt>
                      <c:pt idx="6" c:formatCode="dd/mm/yy;@">
                        <c:v>45891</c:v>
                      </c:pt>
                      <c:pt idx="7" c:formatCode="dd/mm/yy;@">
                        <c:v>45919</c:v>
                      </c:pt>
                      <c:pt idx="8" c:formatCode="dd/mm/yy;@">
                        <c:v>45925</c:v>
                      </c:pt>
                      <c:pt idx="9" c:formatCode="dd/mm/yy;@">
                        <c:v>45933</c:v>
                      </c:pt>
                      <c:pt idx="10" c:formatCode="dd/mm/yy;@">
                        <c:v>45940</c:v>
                      </c:pt>
                      <c:pt idx="11" c:formatCode="dd/mm/yy;@">
                        <c:v>45947</c:v>
                      </c:pt>
                      <c:pt idx="12" c:formatCode="dd/mm/yy;@">
                        <c:v>45952</c:v>
                      </c:pt>
                      <c:pt idx="13" c:formatCode="dd/mm/yy;@">
                        <c:v>45961</c:v>
                      </c:pt>
                      <c:pt idx="14" c:formatCode="dd/mm/yy;@">
                        <c:v>45968</c:v>
                      </c:pt>
                      <c:pt idx="15" c:formatCode="dd/mm/yy;@">
                        <c:v>45975</c:v>
                      </c:pt>
                      <c:pt idx="16" c:formatCode="dd/mm/yy;@">
                        <c:v>45982</c:v>
                      </c:pt>
                      <c:pt idx="17" c:formatCode="dd/mm/yy;@">
                        <c:v>45989</c:v>
                      </c:pt>
                      <c:pt idx="18" c:formatCode="dd/mm/yy;@">
                        <c:v>45996</c:v>
                      </c:pt>
                      <c:pt idx="19" c:formatCode="dd/mm/yy;@">
                        <c:v>46003</c:v>
                      </c:pt>
                      <c:pt idx="20" c:formatCode="dd/mm/yy;@">
                        <c:v>46010</c:v>
                      </c:pt>
                      <c:pt idx="21" c:formatCode="dd/mm/yy;@">
                        <c:v>46017</c:v>
                      </c:pt>
                      <c:pt idx="22" c:formatCode="dd/mm/yy;@">
                        <c:v>46030</c:v>
                      </c:pt>
                      <c:pt idx="23" c:formatCode="dd/mm/yy;@">
                        <c:v>46042</c:v>
                      </c:pt>
                      <c:pt idx="24" c:formatCode="dd/mm/yy;@">
                        <c:v>46051</c:v>
                      </c:pt>
                      <c:pt idx="25" c:formatCode="dd/mm/yy;@">
                        <c:v>46066</c:v>
                      </c:pt>
                      <c:pt idx="26" c:formatCode="dd/mm/yy;@">
                        <c:v>46080</c:v>
                      </c:pt>
                      <c:pt idx="27" c:formatCode="dd/mm/yy;@">
                        <c:v>46087</c:v>
                      </c:pt>
                      <c:pt idx="28" c:formatCode="dd/mm/yy;@">
                        <c:v>46094</c:v>
                      </c:pt>
                      <c:pt idx="29" c:formatCode="dd/mm/yy;@">
                        <c:v>46114</c:v>
                      </c:pt>
                      <c:pt idx="30" c:formatCode="dd/mm/yy;@">
                        <c:v>46125</c:v>
                      </c:pt>
                      <c:pt idx="31" c:formatCode="dd/mm/yy;@">
                        <c:v>46136</c:v>
                      </c:pt>
                      <c:pt idx="32" c:formatCode="dd/mm/yy;@">
                        <c:v>46150</c:v>
                      </c:pt>
                      <c:pt idx="33" c:formatCode="dd/mm/yy;@">
                        <c:v>46157</c:v>
                      </c:pt>
                      <c:pt idx="34" c:formatCode="dd/mm/yy;@">
                        <c:v>46177</c:v>
                      </c:pt>
                      <c:pt idx="35" c:formatCode="dd/mm/yy;@">
                        <c:v>46185</c:v>
                      </c:pt>
                      <c:pt idx="36" c:formatCode="dd/mm/yy;@">
                        <c:v>46192</c:v>
                      </c:pt>
                      <c:pt idx="37" c:formatCode="dd/mm/yy;@">
                        <c:v>46199</c:v>
                      </c:pt>
                      <c:pt idx="38" c:formatCode="dd/mm/yy;@">
                        <c:v>46206</c:v>
                      </c:pt>
                      <c:pt idx="39" c:formatCode="dd/mm/yy;@">
                        <c:v>46213</c:v>
                      </c:pt>
                      <c:pt idx="40" c:formatCode="dd/mm/yy;@">
                        <c:v>46220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RACHID!#REF!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813933536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934256"/>
        <c:crosses val="autoZero"/>
        <c:auto val="1"/>
        <c:lblOffset val="100"/>
        <c:baseTimeUnit val="days"/>
      </c:dateAx>
      <c:valAx>
        <c:axId val="8139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93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6691b2-bc6f-4f9f-a807-881149232b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IMPAYES OUSSAMA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564741907262"/>
          <c:y val="0.371945538057743"/>
          <c:w val="0.810160104986877"/>
          <c:h val="0.461307961504812"/>
        </c:manualLayout>
      </c:layout>
      <c:lineChart>
        <c:grouping val="standard"/>
        <c:varyColors val="0"/>
        <c:ser>
          <c:idx val="0"/>
          <c:order val="0"/>
          <c:tx>
            <c:strRef>
              <c:f>OUSSAMA!$D$20:$D$21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OUSSAMA!$C$23:$C$47</c:f>
              <c:numCache>
                <c:formatCode>dd/mm/yy;@</c:formatCode>
                <c:ptCount val="25"/>
                <c:pt idx="0" c:formatCode="dd/mm/yy;@">
                  <c:v>45827</c:v>
                </c:pt>
                <c:pt idx="1" c:formatCode="dd/mm/yy;@">
                  <c:v>45842</c:v>
                </c:pt>
                <c:pt idx="2" c:formatCode="dd/mm/yy;@">
                  <c:v>45848</c:v>
                </c:pt>
                <c:pt idx="3" c:formatCode="dd/mm/yy;@">
                  <c:v>45856</c:v>
                </c:pt>
                <c:pt idx="4" c:formatCode="dd/mm/yy;@">
                  <c:v>45863</c:v>
                </c:pt>
                <c:pt idx="5" c:formatCode="dd/mm/yy;@">
                  <c:v>45880</c:v>
                </c:pt>
                <c:pt idx="6" c:formatCode="dd/mm/yy;@">
                  <c:v>45891</c:v>
                </c:pt>
                <c:pt idx="7" c:formatCode="dd/mm/yy;@">
                  <c:v>45919</c:v>
                </c:pt>
                <c:pt idx="8" c:formatCode="dd/mm/yy;@">
                  <c:v>45925</c:v>
                </c:pt>
                <c:pt idx="9" c:formatCode="dd/mm/yy;@">
                  <c:v>45968</c:v>
                </c:pt>
                <c:pt idx="10" c:formatCode="dd/mm/yy;@">
                  <c:v>45975</c:v>
                </c:pt>
                <c:pt idx="11" c:formatCode="dd/mm/yy;@">
                  <c:v>45982</c:v>
                </c:pt>
                <c:pt idx="12" c:formatCode="dd/mm/yy;@">
                  <c:v>45989</c:v>
                </c:pt>
                <c:pt idx="13" c:formatCode="dd/mm/yy;@">
                  <c:v>46094</c:v>
                </c:pt>
                <c:pt idx="14" c:formatCode="dd/mm/yy;@">
                  <c:v>46114</c:v>
                </c:pt>
                <c:pt idx="15" c:formatCode="dd/mm/yy;@">
                  <c:v>46125</c:v>
                </c:pt>
                <c:pt idx="16" c:formatCode="dd/mm/yy;@">
                  <c:v>46136</c:v>
                </c:pt>
                <c:pt idx="17" c:formatCode="dd/mm/yy;@">
                  <c:v>46150</c:v>
                </c:pt>
                <c:pt idx="18" c:formatCode="dd/mm/yy;@">
                  <c:v>46157</c:v>
                </c:pt>
                <c:pt idx="19" c:formatCode="dd/mm/yy;@">
                  <c:v>46177</c:v>
                </c:pt>
                <c:pt idx="20" c:formatCode="dd/mm/yy;@">
                  <c:v>46185</c:v>
                </c:pt>
                <c:pt idx="21" c:formatCode="dd/mm/yy;@">
                  <c:v>46192</c:v>
                </c:pt>
                <c:pt idx="22" c:formatCode="dd/mm/yy;@">
                  <c:v>46206</c:v>
                </c:pt>
                <c:pt idx="23" c:formatCode="dd/mm/yy;@">
                  <c:v>46213</c:v>
                </c:pt>
                <c:pt idx="24" c:formatCode="dd/mm/yy;@">
                  <c:v>46220</c:v>
                </c:pt>
              </c:numCache>
            </c:numRef>
          </c:cat>
          <c:val>
            <c:numRef>
              <c:f>OUSSAMA!$D$23:$D$47</c:f>
              <c:numCache>
                <c:formatCode>#,##0.00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  <c:pt idx="5">
                  <c:v>22700</c:v>
                </c:pt>
                <c:pt idx="6">
                  <c:v>22700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87000</c:v>
                </c:pt>
                <c:pt idx="11">
                  <c:v>0</c:v>
                </c:pt>
                <c:pt idx="12">
                  <c:v>29894.72</c:v>
                </c:pt>
                <c:pt idx="13">
                  <c:v>24000</c:v>
                </c:pt>
                <c:pt idx="14">
                  <c:v>25000</c:v>
                </c:pt>
                <c:pt idx="15">
                  <c:v>23750</c:v>
                </c:pt>
                <c:pt idx="16">
                  <c:v>47500</c:v>
                </c:pt>
                <c:pt idx="17">
                  <c:v>23750</c:v>
                </c:pt>
                <c:pt idx="18">
                  <c:v>23750</c:v>
                </c:pt>
                <c:pt idx="19">
                  <c:v>0</c:v>
                </c:pt>
                <c:pt idx="20">
                  <c:v>0</c:v>
                </c:pt>
                <c:pt idx="21">
                  <c:v>54000</c:v>
                </c:pt>
                <c:pt idx="22">
                  <c:v>12474</c:v>
                </c:pt>
                <c:pt idx="23">
                  <c:v>34541.03</c:v>
                </c:pt>
                <c:pt idx="24">
                  <c:v>12474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OUSSAMA!$E$20:$E$21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OUSSAMA!$C$23:$C$47</c:f>
              <c:numCache>
                <c:formatCode>dd/mm/yy;@</c:formatCode>
                <c:ptCount val="25"/>
                <c:pt idx="0" c:formatCode="dd/mm/yy;@">
                  <c:v>45827</c:v>
                </c:pt>
                <c:pt idx="1" c:formatCode="dd/mm/yy;@">
                  <c:v>45842</c:v>
                </c:pt>
                <c:pt idx="2" c:formatCode="dd/mm/yy;@">
                  <c:v>45848</c:v>
                </c:pt>
                <c:pt idx="3" c:formatCode="dd/mm/yy;@">
                  <c:v>45856</c:v>
                </c:pt>
                <c:pt idx="4" c:formatCode="dd/mm/yy;@">
                  <c:v>45863</c:v>
                </c:pt>
                <c:pt idx="5" c:formatCode="dd/mm/yy;@">
                  <c:v>45880</c:v>
                </c:pt>
                <c:pt idx="6" c:formatCode="dd/mm/yy;@">
                  <c:v>45891</c:v>
                </c:pt>
                <c:pt idx="7" c:formatCode="dd/mm/yy;@">
                  <c:v>45919</c:v>
                </c:pt>
                <c:pt idx="8" c:formatCode="dd/mm/yy;@">
                  <c:v>45925</c:v>
                </c:pt>
                <c:pt idx="9" c:formatCode="dd/mm/yy;@">
                  <c:v>45968</c:v>
                </c:pt>
                <c:pt idx="10" c:formatCode="dd/mm/yy;@">
                  <c:v>45975</c:v>
                </c:pt>
                <c:pt idx="11" c:formatCode="dd/mm/yy;@">
                  <c:v>45982</c:v>
                </c:pt>
                <c:pt idx="12" c:formatCode="dd/mm/yy;@">
                  <c:v>45989</c:v>
                </c:pt>
                <c:pt idx="13" c:formatCode="dd/mm/yy;@">
                  <c:v>46094</c:v>
                </c:pt>
                <c:pt idx="14" c:formatCode="dd/mm/yy;@">
                  <c:v>46114</c:v>
                </c:pt>
                <c:pt idx="15" c:formatCode="dd/mm/yy;@">
                  <c:v>46125</c:v>
                </c:pt>
                <c:pt idx="16" c:formatCode="dd/mm/yy;@">
                  <c:v>46136</c:v>
                </c:pt>
                <c:pt idx="17" c:formatCode="dd/mm/yy;@">
                  <c:v>46150</c:v>
                </c:pt>
                <c:pt idx="18" c:formatCode="dd/mm/yy;@">
                  <c:v>46157</c:v>
                </c:pt>
                <c:pt idx="19" c:formatCode="dd/mm/yy;@">
                  <c:v>46177</c:v>
                </c:pt>
                <c:pt idx="20" c:formatCode="dd/mm/yy;@">
                  <c:v>46185</c:v>
                </c:pt>
                <c:pt idx="21" c:formatCode="dd/mm/yy;@">
                  <c:v>46192</c:v>
                </c:pt>
                <c:pt idx="22" c:formatCode="dd/mm/yy;@">
                  <c:v>46206</c:v>
                </c:pt>
                <c:pt idx="23" c:formatCode="dd/mm/yy;@">
                  <c:v>46213</c:v>
                </c:pt>
                <c:pt idx="24" c:formatCode="dd/mm/yy;@">
                  <c:v>46220</c:v>
                </c:pt>
              </c:numCache>
            </c:numRef>
          </c:cat>
          <c:val>
            <c:numRef>
              <c:f>OUSSAMA!#REF!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OUSSAMA!$F$20:$F$21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OUSSAMA!$C$23:$C$47</c:f>
              <c:numCache>
                <c:formatCode>dd/mm/yy;@</c:formatCode>
                <c:ptCount val="25"/>
                <c:pt idx="0" c:formatCode="dd/mm/yy;@">
                  <c:v>45827</c:v>
                </c:pt>
                <c:pt idx="1" c:formatCode="dd/mm/yy;@">
                  <c:v>45842</c:v>
                </c:pt>
                <c:pt idx="2" c:formatCode="dd/mm/yy;@">
                  <c:v>45848</c:v>
                </c:pt>
                <c:pt idx="3" c:formatCode="dd/mm/yy;@">
                  <c:v>45856</c:v>
                </c:pt>
                <c:pt idx="4" c:formatCode="dd/mm/yy;@">
                  <c:v>45863</c:v>
                </c:pt>
                <c:pt idx="5" c:formatCode="dd/mm/yy;@">
                  <c:v>45880</c:v>
                </c:pt>
                <c:pt idx="6" c:formatCode="dd/mm/yy;@">
                  <c:v>45891</c:v>
                </c:pt>
                <c:pt idx="7" c:formatCode="dd/mm/yy;@">
                  <c:v>45919</c:v>
                </c:pt>
                <c:pt idx="8" c:formatCode="dd/mm/yy;@">
                  <c:v>45925</c:v>
                </c:pt>
                <c:pt idx="9" c:formatCode="dd/mm/yy;@">
                  <c:v>45968</c:v>
                </c:pt>
                <c:pt idx="10" c:formatCode="dd/mm/yy;@">
                  <c:v>45975</c:v>
                </c:pt>
                <c:pt idx="11" c:formatCode="dd/mm/yy;@">
                  <c:v>45982</c:v>
                </c:pt>
                <c:pt idx="12" c:formatCode="dd/mm/yy;@">
                  <c:v>45989</c:v>
                </c:pt>
                <c:pt idx="13" c:formatCode="dd/mm/yy;@">
                  <c:v>46094</c:v>
                </c:pt>
                <c:pt idx="14" c:formatCode="dd/mm/yy;@">
                  <c:v>46114</c:v>
                </c:pt>
                <c:pt idx="15" c:formatCode="dd/mm/yy;@">
                  <c:v>46125</c:v>
                </c:pt>
                <c:pt idx="16" c:formatCode="dd/mm/yy;@">
                  <c:v>46136</c:v>
                </c:pt>
                <c:pt idx="17" c:formatCode="dd/mm/yy;@">
                  <c:v>46150</c:v>
                </c:pt>
                <c:pt idx="18" c:formatCode="dd/mm/yy;@">
                  <c:v>46157</c:v>
                </c:pt>
                <c:pt idx="19" c:formatCode="dd/mm/yy;@">
                  <c:v>46177</c:v>
                </c:pt>
                <c:pt idx="20" c:formatCode="dd/mm/yy;@">
                  <c:v>46185</c:v>
                </c:pt>
                <c:pt idx="21" c:formatCode="dd/mm/yy;@">
                  <c:v>46192</c:v>
                </c:pt>
                <c:pt idx="22" c:formatCode="dd/mm/yy;@">
                  <c:v>46206</c:v>
                </c:pt>
                <c:pt idx="23" c:formatCode="dd/mm/yy;@">
                  <c:v>46213</c:v>
                </c:pt>
                <c:pt idx="24" c:formatCode="dd/mm/yy;@">
                  <c:v>46220</c:v>
                </c:pt>
              </c:numCache>
            </c:numRef>
          </c:cat>
          <c:val>
            <c:numRef>
              <c:f>OUSSAMA!#REF!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5816360"/>
        <c:axId val="745817440"/>
      </c:lineChart>
      <c:dateAx>
        <c:axId val="74581636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817440"/>
        <c:crosses val="autoZero"/>
        <c:auto val="1"/>
        <c:lblOffset val="100"/>
        <c:baseTimeUnit val="days"/>
      </c:dateAx>
      <c:valAx>
        <c:axId val="7458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8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b3c74e8-0f12-4eee-87b6-9af34359ba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166133</xdr:colOff>
      <xdr:row>58</xdr:row>
      <xdr:rowOff>33227</xdr:rowOff>
    </xdr:from>
    <xdr:to>
      <xdr:col>13</xdr:col>
      <xdr:colOff>365494</xdr:colOff>
      <xdr:row>81</xdr:row>
      <xdr:rowOff>88603</xdr:rowOff>
    </xdr:to>
    <xdr:graphicFrame>
      <xdr:nvGraphicFramePr>
        <xdr:cNvPr id="3" name="Graphique 2"/>
        <xdr:cNvGraphicFramePr/>
      </xdr:nvGraphicFramePr>
      <xdr:xfrm>
        <a:off x="3220720" y="12778105"/>
        <a:ext cx="11199495" cy="518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381000</xdr:colOff>
      <xdr:row>5</xdr:row>
      <xdr:rowOff>180473</xdr:rowOff>
    </xdr:from>
    <xdr:to>
      <xdr:col>17</xdr:col>
      <xdr:colOff>661737</xdr:colOff>
      <xdr:row>26</xdr:row>
      <xdr:rowOff>10027</xdr:rowOff>
    </xdr:to>
    <xdr:graphicFrame>
      <xdr:nvGraphicFramePr>
        <xdr:cNvPr id="4" name="Graphique 3"/>
        <xdr:cNvGraphicFramePr/>
      </xdr:nvGraphicFramePr>
      <xdr:xfrm>
        <a:off x="3489960" y="1304925"/>
        <a:ext cx="12705715" cy="450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60157</xdr:colOff>
      <xdr:row>101</xdr:row>
      <xdr:rowOff>22057</xdr:rowOff>
    </xdr:from>
    <xdr:to>
      <xdr:col>17</xdr:col>
      <xdr:colOff>1062791</xdr:colOff>
      <xdr:row>128</xdr:row>
      <xdr:rowOff>190499</xdr:rowOff>
    </xdr:to>
    <xdr:graphicFrame>
      <xdr:nvGraphicFramePr>
        <xdr:cNvPr id="3" name="Graphique 2"/>
        <xdr:cNvGraphicFramePr/>
      </xdr:nvGraphicFramePr>
      <xdr:xfrm>
        <a:off x="1160780" y="22504400"/>
        <a:ext cx="15435580" cy="6030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108016</xdr:colOff>
      <xdr:row>277</xdr:row>
      <xdr:rowOff>157113</xdr:rowOff>
    </xdr:from>
    <xdr:to>
      <xdr:col>16</xdr:col>
      <xdr:colOff>491551</xdr:colOff>
      <xdr:row>295</xdr:row>
      <xdr:rowOff>98195</xdr:rowOff>
    </xdr:to>
    <xdr:graphicFrame>
      <xdr:nvGraphicFramePr>
        <xdr:cNvPr id="4" name="Graphique 3"/>
        <xdr:cNvGraphicFramePr/>
      </xdr:nvGraphicFramePr>
      <xdr:xfrm>
        <a:off x="7081520" y="63466980"/>
        <a:ext cx="13477875" cy="3964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638175</xdr:colOff>
      <xdr:row>75</xdr:row>
      <xdr:rowOff>0</xdr:rowOff>
    </xdr:from>
    <xdr:to>
      <xdr:col>13</xdr:col>
      <xdr:colOff>409575</xdr:colOff>
      <xdr:row>91</xdr:row>
      <xdr:rowOff>95250</xdr:rowOff>
    </xdr:to>
    <xdr:graphicFrame>
      <xdr:nvGraphicFramePr>
        <xdr:cNvPr id="2" name="Graphique 1"/>
        <xdr:cNvGraphicFramePr/>
      </xdr:nvGraphicFramePr>
      <xdr:xfrm>
        <a:off x="6381115" y="16711930"/>
        <a:ext cx="8720455" cy="3671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161924</xdr:colOff>
      <xdr:row>17</xdr:row>
      <xdr:rowOff>142876</xdr:rowOff>
    </xdr:from>
    <xdr:to>
      <xdr:col>15</xdr:col>
      <xdr:colOff>266700</xdr:colOff>
      <xdr:row>32</xdr:row>
      <xdr:rowOff>38101</xdr:rowOff>
    </xdr:to>
    <xdr:graphicFrame>
      <xdr:nvGraphicFramePr>
        <xdr:cNvPr id="2" name="Graphique 1"/>
        <xdr:cNvGraphicFramePr/>
      </xdr:nvGraphicFramePr>
      <xdr:xfrm>
        <a:off x="6681470" y="4109085"/>
        <a:ext cx="8180070" cy="3248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723899</xdr:colOff>
      <xdr:row>51</xdr:row>
      <xdr:rowOff>104775</xdr:rowOff>
    </xdr:from>
    <xdr:to>
      <xdr:col>12</xdr:col>
      <xdr:colOff>514350</xdr:colOff>
      <xdr:row>69</xdr:row>
      <xdr:rowOff>85725</xdr:rowOff>
    </xdr:to>
    <xdr:graphicFrame>
      <xdr:nvGraphicFramePr>
        <xdr:cNvPr id="2" name="Graphique 1"/>
        <xdr:cNvGraphicFramePr/>
      </xdr:nvGraphicFramePr>
      <xdr:xfrm>
        <a:off x="7135495" y="11651615"/>
        <a:ext cx="7790180" cy="4004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257175</xdr:colOff>
      <xdr:row>106</xdr:row>
      <xdr:rowOff>38099</xdr:rowOff>
    </xdr:from>
    <xdr:to>
      <xdr:col>14</xdr:col>
      <xdr:colOff>733425</xdr:colOff>
      <xdr:row>123</xdr:row>
      <xdr:rowOff>142875</xdr:rowOff>
    </xdr:to>
    <xdr:graphicFrame>
      <xdr:nvGraphicFramePr>
        <xdr:cNvPr id="2" name="Graphique 1"/>
        <xdr:cNvGraphicFramePr/>
      </xdr:nvGraphicFramePr>
      <xdr:xfrm>
        <a:off x="7608570" y="23877905"/>
        <a:ext cx="9187815" cy="3905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380998</xdr:colOff>
      <xdr:row>73</xdr:row>
      <xdr:rowOff>0</xdr:rowOff>
    </xdr:from>
    <xdr:to>
      <xdr:col>15</xdr:col>
      <xdr:colOff>581025</xdr:colOff>
      <xdr:row>89</xdr:row>
      <xdr:rowOff>190500</xdr:rowOff>
    </xdr:to>
    <xdr:graphicFrame>
      <xdr:nvGraphicFramePr>
        <xdr:cNvPr id="2" name="Graphique 1"/>
        <xdr:cNvGraphicFramePr/>
      </xdr:nvGraphicFramePr>
      <xdr:xfrm>
        <a:off x="7494270" y="16446500"/>
        <a:ext cx="10067290" cy="3766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95249</xdr:colOff>
      <xdr:row>91</xdr:row>
      <xdr:rowOff>28574</xdr:rowOff>
    </xdr:from>
    <xdr:to>
      <xdr:col>17</xdr:col>
      <xdr:colOff>561974</xdr:colOff>
      <xdr:row>109</xdr:row>
      <xdr:rowOff>57149</xdr:rowOff>
    </xdr:to>
    <xdr:graphicFrame>
      <xdr:nvGraphicFramePr>
        <xdr:cNvPr id="2" name="Graphique 1"/>
        <xdr:cNvGraphicFramePr/>
      </xdr:nvGraphicFramePr>
      <xdr:xfrm>
        <a:off x="6452870" y="20506055"/>
        <a:ext cx="12686665" cy="4051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161925</xdr:colOff>
      <xdr:row>24</xdr:row>
      <xdr:rowOff>142875</xdr:rowOff>
    </xdr:from>
    <xdr:to>
      <xdr:col>18</xdr:col>
      <xdr:colOff>238125</xdr:colOff>
      <xdr:row>46</xdr:row>
      <xdr:rowOff>180975</xdr:rowOff>
    </xdr:to>
    <xdr:graphicFrame>
      <xdr:nvGraphicFramePr>
        <xdr:cNvPr id="2" name="Graphique 1"/>
        <xdr:cNvGraphicFramePr/>
      </xdr:nvGraphicFramePr>
      <xdr:xfrm>
        <a:off x="5958840" y="5654675"/>
        <a:ext cx="14077315" cy="4955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590550</xdr:colOff>
      <xdr:row>70</xdr:row>
      <xdr:rowOff>171450</xdr:rowOff>
    </xdr:from>
    <xdr:to>
      <xdr:col>21</xdr:col>
      <xdr:colOff>704850</xdr:colOff>
      <xdr:row>90</xdr:row>
      <xdr:rowOff>76199</xdr:rowOff>
    </xdr:to>
    <xdr:graphicFrame>
      <xdr:nvGraphicFramePr>
        <xdr:cNvPr id="3" name="Graphique 2"/>
        <xdr:cNvGraphicFramePr/>
      </xdr:nvGraphicFramePr>
      <xdr:xfrm>
        <a:off x="6506210" y="15974695"/>
        <a:ext cx="18768060" cy="4374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714375</xdr:colOff>
      <xdr:row>23</xdr:row>
      <xdr:rowOff>61912</xdr:rowOff>
    </xdr:from>
    <xdr:to>
      <xdr:col>13</xdr:col>
      <xdr:colOff>352424</xdr:colOff>
      <xdr:row>43</xdr:row>
      <xdr:rowOff>133351</xdr:rowOff>
    </xdr:to>
    <xdr:graphicFrame>
      <xdr:nvGraphicFramePr>
        <xdr:cNvPr id="2" name="Graphique 1"/>
        <xdr:cNvGraphicFramePr/>
      </xdr:nvGraphicFramePr>
      <xdr:xfrm>
        <a:off x="5194300" y="5359400"/>
        <a:ext cx="9763125" cy="4542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zoomScale="86" zoomScaleNormal="86" workbookViewId="0">
      <selection activeCell="A1" sqref="A1:B93"/>
    </sheetView>
  </sheetViews>
  <sheetFormatPr defaultColWidth="11" defaultRowHeight="16.8" outlineLevelCol="4"/>
  <cols>
    <col min="1" max="1" width="12.75" style="621" customWidth="1"/>
    <col min="2" max="2" width="22.625" style="623" customWidth="1"/>
    <col min="3" max="3" width="17.375" style="623" customWidth="1"/>
    <col min="4" max="14" width="11" style="623"/>
    <col min="15" max="15" width="13" style="623" customWidth="1"/>
    <col min="16" max="16384" width="11" style="623"/>
  </cols>
  <sheetData>
    <row r="1" ht="18.35" spans="1:5">
      <c r="B1" s="644"/>
    </row>
    <row r="2" ht="17.55" spans="1:5">
      <c r="A2" s="645"/>
      <c r="B2" s="646"/>
    </row>
    <row r="3" ht="17.55" spans="1:5">
      <c r="A3" s="647"/>
      <c r="B3" s="648"/>
    </row>
    <row r="4" ht="17.55" spans="1:5">
      <c r="A4" s="649"/>
      <c r="B4" s="646"/>
    </row>
    <row r="5" ht="17.55" spans="1:5">
      <c r="A5" s="650"/>
      <c r="B5" s="651"/>
    </row>
    <row r="6" ht="16.5" customHeight="1" spans="1:5">
      <c r="A6" s="650"/>
      <c r="B6" s="652"/>
      <c r="C6" s="653"/>
    </row>
    <row r="7" ht="15" customHeight="1" spans="1:5">
      <c r="A7" s="650"/>
      <c r="B7" s="652"/>
      <c r="C7" s="653"/>
    </row>
    <row r="8" ht="15" customHeight="1" spans="1:5">
      <c r="A8" s="650"/>
      <c r="B8" s="652"/>
      <c r="C8" s="653"/>
    </row>
    <row r="9" ht="15.75" customHeight="1" spans="1:5">
      <c r="A9" s="650"/>
      <c r="B9" s="652"/>
      <c r="C9" s="654"/>
      <c r="D9" s="654"/>
      <c r="E9" s="654"/>
    </row>
    <row r="10" ht="17.55" spans="1:5">
      <c r="A10" s="650"/>
      <c r="B10" s="652"/>
    </row>
    <row r="11" ht="17.55" spans="1:5">
      <c r="A11" s="650"/>
      <c r="B11" s="652"/>
    </row>
    <row r="12" ht="17.55" spans="1:5">
      <c r="A12" s="650"/>
      <c r="B12" s="652"/>
    </row>
    <row r="13" ht="15.75" customHeight="1" spans="1:5">
      <c r="A13" s="655"/>
      <c r="B13" s="652"/>
      <c r="C13" s="653"/>
      <c r="D13" s="653"/>
      <c r="E13" s="653"/>
    </row>
    <row r="14" ht="17.55" spans="1:5">
      <c r="A14" s="655"/>
      <c r="B14" s="646"/>
    </row>
    <row r="15" ht="17.55" spans="1:5">
      <c r="A15" s="655"/>
      <c r="B15" s="646"/>
    </row>
    <row r="16" ht="17.55" spans="1:5">
      <c r="A16" s="655"/>
      <c r="B16" s="646"/>
    </row>
    <row r="17" ht="17.55" spans="1:3">
      <c r="A17" s="655"/>
      <c r="B17" s="646"/>
    </row>
    <row r="18" ht="15.75" customHeight="1" spans="1:3">
      <c r="A18" s="655"/>
      <c r="B18" s="646"/>
      <c r="C18" s="653"/>
    </row>
    <row r="19" ht="17.55" spans="1:3">
      <c r="A19" s="655"/>
      <c r="B19" s="646"/>
    </row>
    <row r="20" ht="17.55" spans="1:3">
      <c r="A20" s="655"/>
      <c r="B20" s="656"/>
    </row>
    <row r="21" ht="17.55" spans="1:3">
      <c r="A21" s="645"/>
      <c r="B21" s="646"/>
    </row>
    <row r="22" ht="17.55" spans="1:3">
      <c r="A22" s="645"/>
      <c r="B22" s="646"/>
    </row>
    <row r="23" ht="17.55" spans="1:3">
      <c r="A23" s="645"/>
      <c r="B23" s="646"/>
    </row>
    <row r="24" ht="17.55" spans="1:3">
      <c r="A24" s="645"/>
      <c r="B24" s="646"/>
    </row>
    <row r="25" ht="17.55" spans="1:3">
      <c r="A25" s="645"/>
      <c r="B25" s="646"/>
    </row>
    <row r="26" ht="17.55" spans="1:3">
      <c r="A26" s="645"/>
      <c r="B26" s="646"/>
    </row>
    <row r="27" ht="17.55" spans="1:3">
      <c r="A27" s="645"/>
      <c r="B27" s="646"/>
    </row>
    <row r="28" ht="17.55" spans="1:3">
      <c r="A28" s="645"/>
      <c r="B28" s="646"/>
    </row>
    <row r="29" ht="17.55" spans="1:3">
      <c r="A29" s="645"/>
      <c r="B29" s="646"/>
    </row>
    <row r="30" ht="17.55" spans="1:3">
      <c r="A30" s="645"/>
      <c r="B30" s="646"/>
    </row>
    <row r="31" ht="15.75" customHeight="1" spans="1:3">
      <c r="A31" s="645"/>
      <c r="B31" s="646"/>
      <c r="C31" s="653"/>
    </row>
    <row r="32" ht="17.55" spans="1:3">
      <c r="A32" s="645"/>
      <c r="B32" s="646"/>
    </row>
    <row r="33" ht="15.75" customHeight="1" spans="1:3">
      <c r="A33" s="645"/>
      <c r="B33" s="646"/>
      <c r="C33" s="653"/>
    </row>
    <row r="34" ht="17.55" spans="1:3">
      <c r="A34" s="645"/>
      <c r="B34" s="646"/>
    </row>
    <row r="35" ht="17.55" spans="1:3">
      <c r="A35" s="645"/>
      <c r="B35" s="652"/>
    </row>
    <row r="36" ht="17.55" spans="1:3">
      <c r="A36" s="645"/>
      <c r="B36" s="646"/>
    </row>
    <row r="37" ht="17.55" spans="1:3">
      <c r="A37" s="645"/>
      <c r="B37" s="646"/>
    </row>
    <row r="38" ht="17.55" spans="1:3">
      <c r="A38" s="645"/>
      <c r="B38" s="646"/>
    </row>
    <row r="39" ht="17.55" spans="1:3">
      <c r="A39" s="645"/>
      <c r="B39" s="652"/>
    </row>
    <row r="40" ht="17.55" spans="1:3">
      <c r="A40" s="645"/>
      <c r="B40" s="652"/>
    </row>
    <row r="41" ht="17.55" spans="1:3">
      <c r="A41" s="645"/>
      <c r="B41" s="652"/>
    </row>
    <row r="42" ht="17.55" spans="1:3">
      <c r="A42" s="645"/>
      <c r="B42" s="648"/>
    </row>
    <row r="43" ht="17.55" spans="1:3">
      <c r="A43" s="645"/>
      <c r="B43" s="646"/>
    </row>
    <row r="44" ht="17.55" spans="1:3">
      <c r="A44" s="645"/>
      <c r="B44" s="646"/>
    </row>
    <row r="45" ht="17.55" spans="1:3">
      <c r="A45" s="645"/>
      <c r="B45" s="652"/>
    </row>
    <row r="46" ht="17.55" spans="1:3">
      <c r="A46" s="645"/>
      <c r="B46" s="652"/>
    </row>
    <row r="47" ht="17.55" spans="1:3">
      <c r="A47" s="645"/>
      <c r="B47" s="652"/>
    </row>
    <row r="48" ht="17.55" spans="1:3">
      <c r="A48" s="645"/>
      <c r="B48" s="648"/>
    </row>
    <row r="49" ht="17.55" spans="1:2">
      <c r="A49" s="645"/>
      <c r="B49" s="646"/>
    </row>
    <row r="50" ht="17.55" spans="1:2">
      <c r="A50" s="645"/>
      <c r="B50" s="651"/>
    </row>
    <row r="51" ht="17.55" spans="1:2">
      <c r="A51" s="645"/>
      <c r="B51" s="652"/>
    </row>
    <row r="52" ht="17.55" spans="1:2">
      <c r="A52" s="645"/>
      <c r="B52" s="652"/>
    </row>
    <row r="53" ht="17.55" spans="1:2">
      <c r="A53" s="645"/>
      <c r="B53" s="652"/>
    </row>
    <row r="54" ht="17.55" spans="1:2">
      <c r="A54" s="645"/>
      <c r="B54" s="652"/>
    </row>
    <row r="55" ht="17.55" spans="1:2">
      <c r="A55" s="645"/>
      <c r="B55" s="646"/>
    </row>
    <row r="56" ht="17.55" spans="1:2">
      <c r="A56" s="645"/>
      <c r="B56" s="651"/>
    </row>
    <row r="57" ht="17.55" spans="1:2">
      <c r="A57" s="645"/>
      <c r="B57" s="652"/>
    </row>
    <row r="58" ht="17.55" spans="1:2">
      <c r="A58" s="645"/>
      <c r="B58" s="652"/>
    </row>
    <row r="59" ht="17.55" spans="1:2">
      <c r="A59" s="645"/>
      <c r="B59" s="652"/>
    </row>
    <row r="60" ht="17.55" spans="1:2">
      <c r="A60" s="645"/>
      <c r="B60" s="648"/>
    </row>
    <row r="61" ht="17.55" spans="1:2">
      <c r="A61" s="645"/>
      <c r="B61" s="646"/>
    </row>
    <row r="62" ht="17.55" spans="1:2">
      <c r="A62" s="645"/>
      <c r="B62" s="651"/>
    </row>
    <row r="63" ht="17.55" spans="1:2">
      <c r="A63" s="645"/>
      <c r="B63" s="652"/>
    </row>
    <row r="64" ht="17.55" spans="1:2">
      <c r="A64" s="645"/>
      <c r="B64" s="652"/>
    </row>
    <row r="65" ht="17.55" spans="1:2">
      <c r="A65" s="645"/>
      <c r="B65" s="652"/>
    </row>
    <row r="66" ht="17.55" spans="1:2">
      <c r="A66" s="645"/>
      <c r="B66" s="646"/>
    </row>
    <row r="67" ht="17.55" spans="1:2">
      <c r="A67" s="645"/>
      <c r="B67" s="646"/>
    </row>
    <row r="68" ht="17.55" spans="1:2">
      <c r="A68" s="645"/>
      <c r="B68" s="652"/>
    </row>
    <row r="69" ht="17.55" spans="1:2">
      <c r="A69" s="645"/>
      <c r="B69" s="652"/>
    </row>
    <row r="70" ht="17.55" spans="1:2">
      <c r="A70" s="645"/>
      <c r="B70" s="652"/>
    </row>
    <row r="71" ht="17.55" spans="1:2">
      <c r="A71" s="645"/>
      <c r="B71" s="652"/>
    </row>
    <row r="72" ht="17.55" spans="1:2">
      <c r="A72" s="645"/>
      <c r="B72" s="652"/>
    </row>
    <row r="73" ht="17.55" spans="1:2">
      <c r="A73" s="645"/>
      <c r="B73" s="652"/>
    </row>
    <row r="74" ht="17.55" spans="1:2">
      <c r="A74" s="645"/>
      <c r="B74" s="646"/>
    </row>
    <row r="75" ht="17.55" spans="1:2">
      <c r="A75" s="645"/>
      <c r="B75" s="648"/>
    </row>
    <row r="76" ht="17.55" spans="1:2">
      <c r="A76" s="645"/>
      <c r="B76" s="646"/>
    </row>
    <row r="77" ht="17.55" spans="1:2">
      <c r="A77" s="645"/>
      <c r="B77" s="651"/>
    </row>
    <row r="78" ht="17.55" spans="1:2">
      <c r="A78" s="645"/>
      <c r="B78" s="651"/>
    </row>
    <row r="79" ht="17.55" spans="1:2">
      <c r="A79" s="645"/>
      <c r="B79" s="652"/>
    </row>
    <row r="80" ht="17.55" spans="1:2">
      <c r="A80" s="645"/>
      <c r="B80" s="652"/>
    </row>
    <row r="81" ht="17.55" spans="1:2">
      <c r="A81" s="645"/>
      <c r="B81" s="648"/>
    </row>
    <row r="82" ht="17.55" spans="1:2">
      <c r="A82" s="645"/>
      <c r="B82" s="646"/>
    </row>
    <row r="83" ht="17.55" spans="1:2">
      <c r="A83" s="645"/>
      <c r="B83" s="651"/>
    </row>
    <row r="84" ht="17.55" spans="1:2">
      <c r="A84" s="645"/>
      <c r="B84" s="652"/>
    </row>
    <row r="85" ht="17.55" spans="1:2">
      <c r="A85" s="645"/>
      <c r="B85" s="652"/>
    </row>
    <row r="86" ht="17.55" spans="1:2">
      <c r="A86" s="645"/>
      <c r="B86" s="652"/>
    </row>
    <row r="87" ht="17.55" spans="1:2">
      <c r="A87" s="645"/>
      <c r="B87" s="652"/>
    </row>
    <row r="88" ht="17.55" spans="1:2">
      <c r="A88" s="645"/>
      <c r="B88" s="651"/>
    </row>
    <row r="89" ht="17.55" spans="1:2">
      <c r="A89" s="645"/>
      <c r="B89" s="652"/>
    </row>
    <row r="90" ht="17.55" spans="1:2">
      <c r="A90" s="645"/>
      <c r="B90" s="652"/>
    </row>
    <row r="91" ht="17.55" spans="1:2">
      <c r="A91" s="645"/>
      <c r="B91" s="651"/>
    </row>
    <row r="92" ht="17.55" spans="1:2">
      <c r="A92" s="655"/>
      <c r="B92" s="646"/>
    </row>
    <row r="93" ht="17.55" spans="1:2">
      <c r="A93" s="655"/>
      <c r="B93" s="646"/>
    </row>
  </sheetData>
  <mergeCells count="1">
    <mergeCell ref="C13:E1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2"/>
  <sheetViews>
    <sheetView zoomScale="95" zoomScaleNormal="95" topLeftCell="A98" workbookViewId="0">
      <selection activeCell="B49" sqref="B49"/>
    </sheetView>
  </sheetViews>
  <sheetFormatPr defaultColWidth="11" defaultRowHeight="16.8"/>
  <cols>
    <col min="1" max="1" width="12.75" style="621" customWidth="1"/>
    <col min="2" max="2" width="23.25" style="622" customWidth="1"/>
    <col min="3" max="3" width="17.875" style="623" customWidth="1"/>
    <col min="4" max="4" width="21.125" style="623" customWidth="1"/>
    <col min="5" max="5" width="11" style="623"/>
    <col min="6" max="6" width="9.125" style="623" customWidth="1"/>
    <col min="7" max="7" width="6" style="623" hidden="1" customWidth="1"/>
    <col min="8" max="8" width="18" style="623" customWidth="1"/>
    <col min="9" max="9" width="1.375" style="623" customWidth="1"/>
    <col min="10" max="10" width="11" style="623" hidden="1" customWidth="1"/>
    <col min="11" max="11" width="11" style="623"/>
    <col min="12" max="12" width="9" style="623" customWidth="1"/>
    <col min="13" max="13" width="11" style="623" hidden="1" customWidth="1"/>
    <col min="14" max="14" width="11" style="623"/>
    <col min="15" max="15" width="4.5" style="623" customWidth="1"/>
    <col min="16" max="16" width="15" style="624" customWidth="1"/>
    <col min="17" max="17" width="14.875" style="624" customWidth="1"/>
    <col min="18" max="18" width="15.75" style="623" customWidth="1"/>
    <col min="19" max="16384" width="11" style="623"/>
  </cols>
  <sheetData>
    <row r="1" ht="18.35" spans="1:2">
      <c r="B1" s="625" t="s">
        <v>0</v>
      </c>
    </row>
    <row r="2" ht="17.55" spans="1:2">
      <c r="A2" s="626" t="s">
        <v>1</v>
      </c>
      <c r="B2" s="627">
        <v>20242067.81</v>
      </c>
    </row>
    <row r="3" ht="17.55" spans="1:2">
      <c r="A3" s="626" t="s">
        <v>2</v>
      </c>
      <c r="B3" s="627">
        <v>21495469.81</v>
      </c>
    </row>
    <row r="4" ht="17.55" spans="1:2">
      <c r="A4" s="626" t="s">
        <v>3</v>
      </c>
      <c r="B4" s="627">
        <v>20300655.87</v>
      </c>
    </row>
    <row r="5" ht="17.55" spans="1:2">
      <c r="A5" s="626" t="s">
        <v>4</v>
      </c>
      <c r="B5" s="627">
        <v>20730390.76</v>
      </c>
    </row>
    <row r="6" ht="17.55" spans="1:2">
      <c r="A6" s="626" t="s">
        <v>5</v>
      </c>
      <c r="B6" s="627">
        <v>20741807.5</v>
      </c>
    </row>
    <row r="7" ht="17.55" spans="1:2">
      <c r="A7" s="626" t="s">
        <v>6</v>
      </c>
      <c r="B7" s="627">
        <v>21232064.74</v>
      </c>
    </row>
    <row r="8" ht="17.55" spans="1:2">
      <c r="A8" s="626" t="s">
        <v>7</v>
      </c>
      <c r="B8" s="627">
        <v>21572565.96</v>
      </c>
    </row>
    <row r="9" ht="17.55" spans="1:2">
      <c r="A9" s="626" t="s">
        <v>8</v>
      </c>
      <c r="B9" s="627">
        <v>22159613.16</v>
      </c>
    </row>
    <row r="10" ht="17.55" spans="1:2">
      <c r="A10" s="626" t="s">
        <v>9</v>
      </c>
      <c r="B10" s="627">
        <v>23082632.93</v>
      </c>
    </row>
    <row r="11" ht="17.55" spans="1:2">
      <c r="A11" s="626" t="s">
        <v>10</v>
      </c>
      <c r="B11" s="627">
        <v>22597856.01</v>
      </c>
    </row>
    <row r="12" ht="17.55" spans="1:2">
      <c r="A12" s="626" t="s">
        <v>11</v>
      </c>
      <c r="B12" s="627">
        <v>22835782.35</v>
      </c>
    </row>
    <row r="13" ht="17.55" spans="1:2">
      <c r="A13" s="626" t="s">
        <v>12</v>
      </c>
      <c r="B13" s="627">
        <v>22074370.56</v>
      </c>
    </row>
    <row r="14" ht="17.55" spans="1:2">
      <c r="A14" s="626" t="s">
        <v>13</v>
      </c>
      <c r="B14" s="627">
        <v>23515096.45</v>
      </c>
    </row>
    <row r="15" ht="17.55" spans="1:2">
      <c r="A15" s="626" t="s">
        <v>14</v>
      </c>
      <c r="B15" s="627">
        <v>23383883.43</v>
      </c>
    </row>
    <row r="16" ht="17.55" spans="1:2">
      <c r="A16" s="626" t="s">
        <v>15</v>
      </c>
      <c r="B16" s="627">
        <v>22319367.21</v>
      </c>
    </row>
    <row r="17" ht="17.55" spans="1:2">
      <c r="A17" s="626" t="s">
        <v>16</v>
      </c>
      <c r="B17" s="627">
        <v>21830616.11</v>
      </c>
    </row>
    <row r="18" ht="17.55" spans="1:2">
      <c r="A18" s="626" t="s">
        <v>17</v>
      </c>
      <c r="B18" s="627">
        <v>22309326.67</v>
      </c>
    </row>
    <row r="19" ht="17.55" spans="1:2">
      <c r="A19" s="626" t="s">
        <v>18</v>
      </c>
      <c r="B19" s="627">
        <v>21665674.68</v>
      </c>
    </row>
    <row r="20" ht="17.55" spans="1:2">
      <c r="A20" s="626" t="s">
        <v>19</v>
      </c>
      <c r="B20" s="627">
        <v>22855451.83</v>
      </c>
    </row>
    <row r="21" ht="17.55" spans="1:2">
      <c r="A21" s="626" t="s">
        <v>20</v>
      </c>
      <c r="B21" s="627">
        <v>22488473.03</v>
      </c>
    </row>
    <row r="22" ht="17.55" spans="1:2">
      <c r="A22" s="626" t="s">
        <v>21</v>
      </c>
      <c r="B22" s="627">
        <v>22188409.63</v>
      </c>
    </row>
    <row r="23" ht="17.55" spans="1:2">
      <c r="A23" s="626" t="s">
        <v>22</v>
      </c>
      <c r="B23" s="627">
        <v>22719190.1</v>
      </c>
    </row>
    <row r="24" ht="17.55" spans="1:2">
      <c r="A24" s="626" t="s">
        <v>23</v>
      </c>
      <c r="B24" s="627">
        <v>22772612.6</v>
      </c>
    </row>
    <row r="25" ht="17.55" spans="1:2">
      <c r="A25" s="626" t="s">
        <v>24</v>
      </c>
      <c r="B25" s="627">
        <v>24079213.51</v>
      </c>
    </row>
    <row r="26" ht="17.55" spans="1:2">
      <c r="A26" s="626" t="s">
        <v>25</v>
      </c>
      <c r="B26" s="627">
        <v>23734099.41</v>
      </c>
    </row>
    <row r="27" ht="17.55" spans="1:2">
      <c r="A27" s="626" t="s">
        <v>26</v>
      </c>
      <c r="B27" s="627">
        <v>23930505.36</v>
      </c>
    </row>
    <row r="28" ht="17.55" spans="1:2">
      <c r="A28" s="626" t="s">
        <v>27</v>
      </c>
      <c r="B28" s="627">
        <v>25151455.5</v>
      </c>
    </row>
    <row r="29" ht="17.55" spans="1:2">
      <c r="A29" s="626" t="s">
        <v>28</v>
      </c>
      <c r="B29" s="627">
        <v>25018540.94</v>
      </c>
    </row>
    <row r="30" ht="17.55" spans="1:2">
      <c r="A30" s="626" t="s">
        <v>29</v>
      </c>
      <c r="B30" s="627">
        <v>23118109.01</v>
      </c>
    </row>
    <row r="31" ht="17.55" spans="1:2">
      <c r="A31" s="626" t="s">
        <v>30</v>
      </c>
      <c r="B31" s="627">
        <v>23168650.73</v>
      </c>
    </row>
    <row r="32" ht="17.55" spans="1:2">
      <c r="A32" s="626" t="s">
        <v>31</v>
      </c>
      <c r="B32" s="627">
        <v>23441168.14</v>
      </c>
    </row>
    <row r="33" ht="17.55" spans="1:2">
      <c r="A33" s="626" t="s">
        <v>32</v>
      </c>
      <c r="B33" s="627">
        <v>23851557.12</v>
      </c>
    </row>
    <row r="34" ht="17.55" spans="1:2">
      <c r="A34" s="626" t="s">
        <v>33</v>
      </c>
      <c r="B34" s="627">
        <v>23943964.11</v>
      </c>
    </row>
    <row r="35" ht="17.55" spans="1:2">
      <c r="A35" s="626" t="s">
        <v>34</v>
      </c>
      <c r="B35" s="627">
        <v>24918555.23</v>
      </c>
    </row>
    <row r="36" ht="17.55" spans="1:2">
      <c r="A36" s="626" t="s">
        <v>35</v>
      </c>
      <c r="B36" s="627">
        <v>25136142.08</v>
      </c>
    </row>
    <row r="37" ht="17.55" spans="1:2">
      <c r="A37" s="626" t="s">
        <v>36</v>
      </c>
      <c r="B37" s="627">
        <v>26156223.01</v>
      </c>
    </row>
    <row r="38" ht="17.55" spans="1:2">
      <c r="A38" s="626" t="s">
        <v>37</v>
      </c>
      <c r="B38" s="627">
        <v>24782102.76</v>
      </c>
    </row>
    <row r="39" ht="17.55" spans="1:2">
      <c r="A39" s="626" t="s">
        <v>38</v>
      </c>
      <c r="B39" s="627">
        <v>24878605.65</v>
      </c>
    </row>
    <row r="40" ht="17.55" spans="1:2">
      <c r="A40" s="626" t="s">
        <v>39</v>
      </c>
      <c r="B40" s="627">
        <v>26125125.67</v>
      </c>
    </row>
    <row r="41" ht="17.55" spans="1:2">
      <c r="A41" s="626" t="s">
        <v>40</v>
      </c>
      <c r="B41" s="627">
        <v>27156718.87</v>
      </c>
    </row>
    <row r="42" ht="17.55" spans="1:2">
      <c r="A42" s="626" t="s">
        <v>41</v>
      </c>
      <c r="B42" s="627">
        <v>28394969.64</v>
      </c>
    </row>
    <row r="43" ht="17.55" spans="1:2">
      <c r="A43" s="626" t="s">
        <v>42</v>
      </c>
      <c r="B43" s="627">
        <v>28455260.08</v>
      </c>
    </row>
    <row r="44" ht="17.55" spans="1:2">
      <c r="A44" s="626" t="s">
        <v>43</v>
      </c>
      <c r="B44" s="627">
        <v>28352570.5</v>
      </c>
    </row>
    <row r="45" ht="17.55" spans="1:2">
      <c r="A45" s="626" t="s">
        <v>44</v>
      </c>
      <c r="B45" s="627">
        <v>27505344.15</v>
      </c>
    </row>
    <row r="46" ht="17.55" spans="1:2">
      <c r="A46" s="626" t="s">
        <v>45</v>
      </c>
      <c r="B46" s="627">
        <v>27899115.26</v>
      </c>
    </row>
    <row r="47" ht="17.55" spans="1:2">
      <c r="A47" s="626" t="s">
        <v>46</v>
      </c>
      <c r="B47" s="627">
        <v>27355715.91</v>
      </c>
    </row>
    <row r="48" ht="13.5" customHeight="1" spans="1:2">
      <c r="A48" s="626" t="s">
        <v>47</v>
      </c>
      <c r="B48" s="627">
        <v>26243849.64</v>
      </c>
    </row>
    <row r="49" ht="17.55" spans="1:18">
      <c r="A49" s="626" t="s">
        <v>48</v>
      </c>
      <c r="B49" s="627">
        <v>26163575.21</v>
      </c>
    </row>
    <row r="51" spans="1:18">
      <c r="B51" s="628" t="s">
        <v>49</v>
      </c>
      <c r="C51" s="629" t="s">
        <v>50</v>
      </c>
      <c r="D51" s="629" t="s">
        <v>51</v>
      </c>
      <c r="E51" s="630" t="s">
        <v>52</v>
      </c>
      <c r="F51" s="631"/>
      <c r="G51" s="632"/>
      <c r="H51" s="630" t="s">
        <v>53</v>
      </c>
      <c r="I51" s="631"/>
      <c r="J51" s="632"/>
      <c r="K51" s="630" t="s">
        <v>54</v>
      </c>
      <c r="L51" s="631"/>
      <c r="M51" s="632"/>
      <c r="N51" s="630" t="s">
        <v>55</v>
      </c>
      <c r="O51" s="631"/>
      <c r="P51" s="633" t="s">
        <v>56</v>
      </c>
      <c r="Q51" s="633" t="s">
        <v>57</v>
      </c>
      <c r="R51" s="634" t="s">
        <v>58</v>
      </c>
    </row>
    <row r="52" ht="17.6" spans="1:18">
      <c r="A52" s="261" t="s">
        <v>1</v>
      </c>
      <c r="B52" s="635">
        <v>11167822.16</v>
      </c>
      <c r="C52" s="52">
        <v>2790514.82</v>
      </c>
      <c r="D52" s="52">
        <v>59708</v>
      </c>
      <c r="E52" s="636">
        <v>1093381.26</v>
      </c>
      <c r="F52" s="636"/>
      <c r="G52" s="52"/>
      <c r="H52" s="52">
        <v>579371.56</v>
      </c>
      <c r="I52" s="52"/>
      <c r="J52" s="637"/>
      <c r="K52" s="52">
        <v>830394.9</v>
      </c>
      <c r="L52" s="52"/>
      <c r="M52" s="52"/>
      <c r="N52" s="52">
        <v>2080615.68</v>
      </c>
      <c r="O52" s="52"/>
      <c r="P52" s="636">
        <v>114695.33</v>
      </c>
      <c r="Q52" s="636">
        <v>1487817.52</v>
      </c>
      <c r="R52" s="636">
        <v>37746.58</v>
      </c>
    </row>
    <row r="53" ht="17.6" spans="1:18">
      <c r="A53" s="261" t="s">
        <v>2</v>
      </c>
      <c r="B53" s="635">
        <v>12089610.04</v>
      </c>
      <c r="C53" s="52">
        <v>2902202.62</v>
      </c>
      <c r="D53" s="52">
        <v>59708</v>
      </c>
      <c r="E53" s="636">
        <v>1551831.26</v>
      </c>
      <c r="F53" s="636"/>
      <c r="G53" s="52"/>
      <c r="H53" s="52">
        <v>579371.59</v>
      </c>
      <c r="I53" s="52"/>
      <c r="J53" s="637"/>
      <c r="K53" s="52">
        <v>681793.15</v>
      </c>
      <c r="L53" s="52"/>
      <c r="M53" s="52"/>
      <c r="N53" s="52">
        <v>1981835.66</v>
      </c>
      <c r="O53" s="52"/>
      <c r="P53" s="636">
        <v>19300</v>
      </c>
      <c r="Q53" s="636">
        <v>1617817.52</v>
      </c>
      <c r="R53" s="636">
        <v>12000</v>
      </c>
    </row>
    <row r="54" ht="17.6" spans="1:18">
      <c r="A54" s="261" t="s">
        <v>3</v>
      </c>
      <c r="B54" s="635">
        <v>11006950.55</v>
      </c>
      <c r="C54" s="52">
        <v>2774642.62</v>
      </c>
      <c r="D54" s="52">
        <v>59708</v>
      </c>
      <c r="E54" s="636">
        <v>1584874.31</v>
      </c>
      <c r="F54" s="636"/>
      <c r="G54" s="52"/>
      <c r="H54" s="52">
        <v>607371.56</v>
      </c>
      <c r="I54" s="52"/>
      <c r="J54" s="637"/>
      <c r="K54" s="52">
        <v>795123.15</v>
      </c>
      <c r="L54" s="52"/>
      <c r="M54" s="52"/>
      <c r="N54" s="52">
        <v>1981835.66</v>
      </c>
      <c r="O54" s="52"/>
      <c r="P54" s="636">
        <v>0</v>
      </c>
      <c r="Q54" s="636">
        <v>1490150.02</v>
      </c>
      <c r="R54" s="636">
        <v>0</v>
      </c>
    </row>
    <row r="55" ht="17.6" spans="1:18">
      <c r="A55" s="261" t="s">
        <v>4</v>
      </c>
      <c r="B55" s="635">
        <v>10947363.61</v>
      </c>
      <c r="C55" s="52">
        <v>2825142.62</v>
      </c>
      <c r="D55" s="52">
        <v>59708</v>
      </c>
      <c r="E55" s="636">
        <v>1708526.27</v>
      </c>
      <c r="F55" s="636"/>
      <c r="G55" s="52"/>
      <c r="H55" s="52">
        <v>664371.56</v>
      </c>
      <c r="I55" s="52"/>
      <c r="J55" s="637"/>
      <c r="K55" s="52">
        <v>1071082.12</v>
      </c>
      <c r="L55" s="52"/>
      <c r="M55" s="52"/>
      <c r="N55" s="52">
        <v>2002546.56</v>
      </c>
      <c r="O55" s="52"/>
      <c r="P55" s="636">
        <v>8500</v>
      </c>
      <c r="Q55" s="636">
        <v>1443150.02</v>
      </c>
      <c r="R55" s="636">
        <v>0</v>
      </c>
    </row>
    <row r="56" ht="17.6" spans="1:18">
      <c r="A56" s="261" t="s">
        <v>5</v>
      </c>
      <c r="B56" s="635">
        <v>11351490.6</v>
      </c>
      <c r="C56" s="52">
        <v>2916922.87</v>
      </c>
      <c r="D56" s="52">
        <v>59708</v>
      </c>
      <c r="E56" s="636">
        <v>1068803.22</v>
      </c>
      <c r="F56" s="636"/>
      <c r="G56" s="52"/>
      <c r="H56" s="52">
        <v>664371.56</v>
      </c>
      <c r="I56" s="52"/>
      <c r="J56" s="637"/>
      <c r="K56" s="52">
        <v>1127959.16</v>
      </c>
      <c r="L56" s="52"/>
      <c r="M56" s="52"/>
      <c r="N56" s="52">
        <v>2015999.36</v>
      </c>
      <c r="O56" s="52"/>
      <c r="P56" s="636">
        <v>63000</v>
      </c>
      <c r="Q56" s="636">
        <v>1473552.73</v>
      </c>
      <c r="R56" s="636">
        <v>0</v>
      </c>
    </row>
    <row r="57" ht="17.6" spans="1:18">
      <c r="A57" s="261" t="s">
        <v>6</v>
      </c>
      <c r="B57" s="635">
        <v>11339356.44</v>
      </c>
      <c r="C57" s="52">
        <v>2956234.47</v>
      </c>
      <c r="D57" s="52">
        <v>59708</v>
      </c>
      <c r="E57" s="636">
        <v>1015233.66</v>
      </c>
      <c r="F57" s="636"/>
      <c r="G57" s="52"/>
      <c r="H57" s="52">
        <v>785838.4</v>
      </c>
      <c r="I57" s="52"/>
      <c r="J57" s="637"/>
      <c r="K57" s="52">
        <v>1367241.68</v>
      </c>
      <c r="L57" s="52"/>
      <c r="M57" s="52"/>
      <c r="N57" s="52">
        <v>2085999.36</v>
      </c>
      <c r="O57" s="52"/>
      <c r="P57" s="636">
        <v>128900</v>
      </c>
      <c r="Q57" s="636">
        <v>1493552.73</v>
      </c>
      <c r="R57" s="636">
        <v>0</v>
      </c>
    </row>
    <row r="58" ht="17.6" spans="1:18">
      <c r="A58" s="261" t="s">
        <v>7</v>
      </c>
      <c r="B58" s="635">
        <v>11660099.12</v>
      </c>
      <c r="C58" s="52">
        <v>2830647.25</v>
      </c>
      <c r="D58" s="52">
        <v>59708</v>
      </c>
      <c r="E58" s="636">
        <v>1005475.66</v>
      </c>
      <c r="F58" s="636"/>
      <c r="G58" s="52"/>
      <c r="H58" s="52">
        <v>1186871.45</v>
      </c>
      <c r="I58" s="52"/>
      <c r="J58" s="637"/>
      <c r="K58" s="52">
        <v>1079109.39</v>
      </c>
      <c r="L58" s="52"/>
      <c r="M58" s="52"/>
      <c r="N58" s="52">
        <v>2098412.36</v>
      </c>
      <c r="O58" s="52"/>
      <c r="P58" s="636">
        <v>138780</v>
      </c>
      <c r="Q58" s="636">
        <v>1513462.73</v>
      </c>
      <c r="R58" s="636">
        <v>0</v>
      </c>
    </row>
    <row r="59" ht="17.6" spans="1:18">
      <c r="A59" s="261" t="s">
        <v>8</v>
      </c>
      <c r="B59" s="635">
        <v>12098509.34</v>
      </c>
      <c r="C59" s="52">
        <v>2674766.44</v>
      </c>
      <c r="D59" s="52">
        <v>59708</v>
      </c>
      <c r="E59" s="636">
        <v>1222973.66</v>
      </c>
      <c r="F59" s="636"/>
      <c r="G59" s="52"/>
      <c r="H59" s="52">
        <v>1264449.51</v>
      </c>
      <c r="I59" s="52"/>
      <c r="J59" s="637"/>
      <c r="K59" s="52">
        <v>1032860.05</v>
      </c>
      <c r="L59" s="52"/>
      <c r="M59" s="52"/>
      <c r="N59" s="52">
        <v>2176530.43</v>
      </c>
      <c r="O59" s="52"/>
      <c r="P59" s="636">
        <v>197753</v>
      </c>
      <c r="Q59" s="636">
        <v>1407062.73</v>
      </c>
      <c r="R59" s="636">
        <v>25000</v>
      </c>
    </row>
    <row r="60" ht="17.6" spans="1:18">
      <c r="A60" s="261" t="s">
        <v>59</v>
      </c>
      <c r="B60" s="635">
        <v>12550687.96</v>
      </c>
      <c r="C60" s="52">
        <v>2924819.25</v>
      </c>
      <c r="D60" s="52">
        <v>59708</v>
      </c>
      <c r="E60" s="636">
        <v>1134669.35</v>
      </c>
      <c r="F60" s="636"/>
      <c r="G60" s="52"/>
      <c r="H60" s="52">
        <v>1278449.51</v>
      </c>
      <c r="I60" s="52"/>
      <c r="J60" s="637"/>
      <c r="K60" s="52">
        <v>1165527.18</v>
      </c>
      <c r="L60" s="52"/>
      <c r="M60" s="52"/>
      <c r="N60" s="52">
        <v>2170520.43</v>
      </c>
      <c r="O60" s="52"/>
      <c r="P60" s="636">
        <v>352988.52</v>
      </c>
      <c r="Q60" s="636">
        <v>1420262.73</v>
      </c>
      <c r="R60" s="636">
        <v>25000</v>
      </c>
    </row>
    <row r="61" ht="17.6" spans="1:18">
      <c r="A61" s="261" t="s">
        <v>10</v>
      </c>
      <c r="B61" s="635">
        <v>12279855.23</v>
      </c>
      <c r="C61" s="52">
        <v>2611982.87</v>
      </c>
      <c r="D61" s="52">
        <v>59708</v>
      </c>
      <c r="E61" s="636">
        <v>1172073.2</v>
      </c>
      <c r="F61" s="636"/>
      <c r="G61" s="52"/>
      <c r="H61" s="52">
        <v>1249949.51</v>
      </c>
      <c r="I61" s="52"/>
      <c r="J61" s="638"/>
      <c r="K61" s="52">
        <v>1323987.84</v>
      </c>
      <c r="L61" s="52"/>
      <c r="M61" s="52"/>
      <c r="N61" s="52">
        <v>2036008.11</v>
      </c>
      <c r="O61" s="52"/>
      <c r="P61" s="636">
        <v>437988.52</v>
      </c>
      <c r="Q61" s="636">
        <v>1401302.73</v>
      </c>
      <c r="R61" s="636">
        <v>25000</v>
      </c>
    </row>
    <row r="62" ht="17.6" spans="1:18">
      <c r="A62" s="261" t="s">
        <v>11</v>
      </c>
      <c r="B62" s="635">
        <v>11964133.77</v>
      </c>
      <c r="C62" s="52">
        <v>2911848.44</v>
      </c>
      <c r="D62" s="52">
        <v>59708</v>
      </c>
      <c r="E62" s="636">
        <v>976554.8</v>
      </c>
      <c r="F62" s="636"/>
      <c r="G62" s="52"/>
      <c r="H62" s="52">
        <v>1589945.65</v>
      </c>
      <c r="I62" s="52"/>
      <c r="J62" s="638"/>
      <c r="K62" s="52">
        <v>1492163.06</v>
      </c>
      <c r="L62" s="52"/>
      <c r="M62" s="52"/>
      <c r="N62" s="52">
        <v>2043733.11</v>
      </c>
      <c r="O62" s="52"/>
      <c r="P62" s="636">
        <v>520602.79</v>
      </c>
      <c r="Q62" s="636">
        <v>1254392.73</v>
      </c>
      <c r="R62" s="636">
        <v>22700</v>
      </c>
    </row>
    <row r="63" ht="17.6" spans="1:18">
      <c r="A63" s="261" t="s">
        <v>12</v>
      </c>
      <c r="B63" s="635">
        <v>11617239.59</v>
      </c>
      <c r="C63" s="52">
        <v>2832606.44</v>
      </c>
      <c r="D63" s="52">
        <v>59708</v>
      </c>
      <c r="E63" s="636">
        <v>939150.95</v>
      </c>
      <c r="F63" s="636"/>
      <c r="G63" s="52"/>
      <c r="H63" s="52">
        <v>1350087.51</v>
      </c>
      <c r="I63" s="52"/>
      <c r="J63" s="638"/>
      <c r="K63" s="52">
        <v>1368715.32</v>
      </c>
      <c r="L63" s="52"/>
      <c r="M63" s="52"/>
      <c r="N63" s="52">
        <v>2059309.23</v>
      </c>
      <c r="O63" s="52"/>
      <c r="P63" s="636">
        <v>520602.79</v>
      </c>
      <c r="Q63" s="636">
        <v>1304250.73</v>
      </c>
      <c r="R63" s="636">
        <v>22700</v>
      </c>
    </row>
    <row r="64" ht="17.6" spans="1:18">
      <c r="A64" s="639" t="s">
        <v>60</v>
      </c>
      <c r="B64" s="635">
        <v>12291000.23</v>
      </c>
      <c r="C64" s="52">
        <v>3186853.64</v>
      </c>
      <c r="D64" s="52">
        <v>59708</v>
      </c>
      <c r="E64" s="636">
        <v>1000475.45</v>
      </c>
      <c r="F64" s="636"/>
      <c r="G64" s="52"/>
      <c r="H64" s="52">
        <v>1634789.51</v>
      </c>
      <c r="I64" s="52"/>
      <c r="J64" s="638"/>
      <c r="K64" s="52">
        <v>1354304.34</v>
      </c>
      <c r="L64" s="52"/>
      <c r="M64" s="52"/>
      <c r="N64" s="52">
        <v>2045807.77</v>
      </c>
      <c r="O64" s="52"/>
      <c r="P64" s="636">
        <v>592007.79</v>
      </c>
      <c r="Q64" s="636">
        <v>1350149.73</v>
      </c>
      <c r="R64" s="636">
        <v>0</v>
      </c>
    </row>
    <row r="65" ht="17.6" spans="1:18">
      <c r="A65" s="639" t="s">
        <v>14</v>
      </c>
      <c r="B65" s="635">
        <v>12133152.89</v>
      </c>
      <c r="C65" s="52">
        <v>3171853.64</v>
      </c>
      <c r="D65" s="52">
        <v>59708</v>
      </c>
      <c r="E65" s="640">
        <v>1176375.45</v>
      </c>
      <c r="F65" s="641"/>
      <c r="G65" s="52"/>
      <c r="H65" s="52">
        <v>1484789.51</v>
      </c>
      <c r="I65" s="52"/>
      <c r="J65" s="638"/>
      <c r="K65" s="52">
        <v>1386788.2</v>
      </c>
      <c r="L65" s="52"/>
      <c r="M65" s="52"/>
      <c r="N65" s="52">
        <v>2093740.74</v>
      </c>
      <c r="O65" s="52"/>
      <c r="P65" s="636">
        <v>512325.27</v>
      </c>
      <c r="Q65" s="636">
        <v>1365149.73</v>
      </c>
      <c r="R65" s="636">
        <v>0</v>
      </c>
    </row>
    <row r="66" ht="17.6" spans="1:18">
      <c r="A66" s="639" t="s">
        <v>61</v>
      </c>
      <c r="B66" s="635">
        <v>11379126.67</v>
      </c>
      <c r="C66" s="52">
        <v>3273053.64</v>
      </c>
      <c r="D66" s="52">
        <v>59708</v>
      </c>
      <c r="E66" s="636">
        <v>996375.45</v>
      </c>
      <c r="F66" s="636"/>
      <c r="G66" s="52"/>
      <c r="H66" s="52">
        <v>1443869.51</v>
      </c>
      <c r="I66" s="52"/>
      <c r="J66" s="638"/>
      <c r="K66" s="52">
        <v>1288438.2</v>
      </c>
      <c r="L66" s="52"/>
      <c r="M66" s="52"/>
      <c r="N66" s="52">
        <v>2089971.74</v>
      </c>
      <c r="O66" s="52"/>
      <c r="P66" s="636">
        <v>448772.27</v>
      </c>
      <c r="Q66" s="636">
        <v>1340051.73</v>
      </c>
      <c r="R66" s="636">
        <v>0</v>
      </c>
    </row>
    <row r="67" ht="17.6" spans="1:18">
      <c r="A67" s="639" t="s">
        <v>16</v>
      </c>
      <c r="B67" s="635">
        <v>11515385.92</v>
      </c>
      <c r="C67" s="52">
        <v>2957264.87</v>
      </c>
      <c r="D67" s="52">
        <v>59708</v>
      </c>
      <c r="E67" s="636">
        <v>1153177.81</v>
      </c>
      <c r="F67" s="636"/>
      <c r="G67" s="52"/>
      <c r="H67" s="52">
        <v>1459036.22</v>
      </c>
      <c r="I67" s="52"/>
      <c r="J67" s="638"/>
      <c r="K67" s="52">
        <v>1031787.55</v>
      </c>
      <c r="L67" s="52"/>
      <c r="M67" s="52"/>
      <c r="N67" s="52">
        <v>1979431.74</v>
      </c>
      <c r="O67" s="52"/>
      <c r="P67" s="636">
        <v>394772.27</v>
      </c>
      <c r="Q67" s="636">
        <v>1280051.73</v>
      </c>
      <c r="R67" s="636">
        <v>0</v>
      </c>
    </row>
    <row r="68" ht="17.6" spans="1:18">
      <c r="A68" s="639" t="s">
        <v>17</v>
      </c>
      <c r="B68" s="635">
        <v>11964830.95</v>
      </c>
      <c r="C68" s="52">
        <v>3187485.37</v>
      </c>
      <c r="D68" s="52">
        <v>59708</v>
      </c>
      <c r="E68" s="636">
        <v>1198057.81</v>
      </c>
      <c r="F68" s="636"/>
      <c r="G68" s="52"/>
      <c r="H68" s="52">
        <v>1259862.22</v>
      </c>
      <c r="I68" s="52"/>
      <c r="J68" s="638"/>
      <c r="K68" s="52">
        <v>842987.55</v>
      </c>
      <c r="L68" s="52"/>
      <c r="M68" s="52"/>
      <c r="N68" s="52">
        <v>2132257.77</v>
      </c>
      <c r="O68" s="52"/>
      <c r="P68" s="636">
        <v>334085.27</v>
      </c>
      <c r="Q68" s="636">
        <v>1330051.73</v>
      </c>
      <c r="R68" s="636">
        <v>0</v>
      </c>
    </row>
    <row r="69" ht="17.6" spans="1:18">
      <c r="A69" s="639" t="s">
        <v>18</v>
      </c>
      <c r="B69" s="635">
        <v>11921828.96</v>
      </c>
      <c r="C69" s="52">
        <v>2714993.37</v>
      </c>
      <c r="D69" s="52">
        <v>59708</v>
      </c>
      <c r="E69" s="636">
        <v>1198057.81</v>
      </c>
      <c r="F69" s="636"/>
      <c r="G69" s="52"/>
      <c r="H69" s="52">
        <v>1231704.22</v>
      </c>
      <c r="I69" s="52"/>
      <c r="J69" s="638"/>
      <c r="K69" s="52">
        <v>842987.55</v>
      </c>
      <c r="L69" s="52"/>
      <c r="M69" s="52"/>
      <c r="N69" s="52">
        <v>2132257.77</v>
      </c>
      <c r="O69" s="52"/>
      <c r="P69" s="636">
        <v>334085.27</v>
      </c>
      <c r="Q69" s="636">
        <v>1280051.73</v>
      </c>
      <c r="R69" s="636">
        <v>0</v>
      </c>
    </row>
    <row r="70" ht="17.6" spans="1:18">
      <c r="A70" s="639" t="s">
        <v>19</v>
      </c>
      <c r="B70" s="635">
        <v>12573627.48</v>
      </c>
      <c r="C70" s="52">
        <v>3003871.37</v>
      </c>
      <c r="D70" s="52">
        <v>59708</v>
      </c>
      <c r="E70" s="636">
        <v>1248655.96</v>
      </c>
      <c r="F70" s="636"/>
      <c r="G70" s="52"/>
      <c r="H70" s="52">
        <v>1338084.22</v>
      </c>
      <c r="I70" s="52"/>
      <c r="J70" s="638"/>
      <c r="K70" s="52">
        <v>967703.03</v>
      </c>
      <c r="L70" s="52"/>
      <c r="M70" s="52"/>
      <c r="N70" s="52">
        <v>1995257.77</v>
      </c>
      <c r="O70" s="52"/>
      <c r="P70" s="636">
        <v>251927.27</v>
      </c>
      <c r="Q70" s="636">
        <v>1416616.73</v>
      </c>
      <c r="R70" s="636">
        <v>0</v>
      </c>
    </row>
    <row r="71" ht="17.6" spans="1:18">
      <c r="A71" s="639" t="s">
        <v>20</v>
      </c>
      <c r="B71" s="635">
        <v>12579775.08</v>
      </c>
      <c r="C71" s="52">
        <v>2923871.37</v>
      </c>
      <c r="D71" s="52">
        <v>59708</v>
      </c>
      <c r="E71" s="636">
        <v>1005514.96</v>
      </c>
      <c r="F71" s="636"/>
      <c r="G71" s="52"/>
      <c r="H71" s="52">
        <v>1380978.82</v>
      </c>
      <c r="I71" s="52"/>
      <c r="J71" s="638"/>
      <c r="K71" s="52">
        <v>967703.03</v>
      </c>
      <c r="L71" s="52"/>
      <c r="M71" s="52"/>
      <c r="N71" s="52">
        <v>1995257.77</v>
      </c>
      <c r="O71" s="52"/>
      <c r="P71" s="636">
        <v>225547.27</v>
      </c>
      <c r="Q71" s="636">
        <v>1350116.73</v>
      </c>
      <c r="R71" s="636">
        <v>0</v>
      </c>
    </row>
    <row r="72" ht="17.6" spans="1:18">
      <c r="A72" s="639" t="s">
        <v>21</v>
      </c>
      <c r="B72" s="635">
        <v>12228921.43</v>
      </c>
      <c r="C72" s="52">
        <v>2899292.73</v>
      </c>
      <c r="D72" s="52">
        <v>59708</v>
      </c>
      <c r="E72" s="636">
        <v>1264621.2</v>
      </c>
      <c r="F72" s="636"/>
      <c r="G72" s="52"/>
      <c r="H72" s="52">
        <v>1262757.93</v>
      </c>
      <c r="I72" s="52"/>
      <c r="J72" s="638"/>
      <c r="K72" s="52">
        <v>745666.57</v>
      </c>
      <c r="L72" s="52"/>
      <c r="M72" s="52"/>
      <c r="N72" s="52">
        <v>2105797.77</v>
      </c>
      <c r="O72" s="52"/>
      <c r="P72" s="636">
        <v>144927.27</v>
      </c>
      <c r="Q72" s="636">
        <v>1389716.73</v>
      </c>
      <c r="R72" s="636">
        <v>87000</v>
      </c>
    </row>
    <row r="73" ht="17.6" spans="1:18">
      <c r="A73" s="639" t="s">
        <v>22</v>
      </c>
      <c r="B73" s="635">
        <v>12428476.71</v>
      </c>
      <c r="C73" s="52">
        <v>3174387.03</v>
      </c>
      <c r="D73" s="52">
        <v>59708</v>
      </c>
      <c r="E73" s="640">
        <v>1404576.09</v>
      </c>
      <c r="F73" s="641"/>
      <c r="G73" s="52"/>
      <c r="H73" s="52">
        <v>1322757.93</v>
      </c>
      <c r="I73" s="52"/>
      <c r="J73" s="638"/>
      <c r="K73" s="52">
        <v>673166.57</v>
      </c>
      <c r="L73" s="52"/>
      <c r="M73" s="52"/>
      <c r="N73" s="52">
        <v>2141433.77</v>
      </c>
      <c r="O73" s="52"/>
      <c r="P73" s="636">
        <v>119767.27</v>
      </c>
      <c r="Q73" s="636">
        <v>1394916.73</v>
      </c>
      <c r="R73" s="636">
        <v>0</v>
      </c>
    </row>
    <row r="74" ht="17.6" spans="1:18">
      <c r="A74" s="639" t="s">
        <v>23</v>
      </c>
      <c r="B74" s="635">
        <v>12510938.95</v>
      </c>
      <c r="C74" s="52">
        <v>3174387.03</v>
      </c>
      <c r="D74" s="52">
        <v>59708</v>
      </c>
      <c r="E74" s="640">
        <v>1466304.09</v>
      </c>
      <c r="F74" s="641"/>
      <c r="G74" s="52"/>
      <c r="H74" s="52">
        <v>1290717.93</v>
      </c>
      <c r="I74" s="52"/>
      <c r="J74" s="638"/>
      <c r="K74" s="52">
        <v>616711.57</v>
      </c>
      <c r="L74" s="52"/>
      <c r="M74" s="52"/>
      <c r="N74" s="52">
        <v>2051466.31</v>
      </c>
      <c r="O74" s="52"/>
      <c r="P74" s="636">
        <v>112767.27</v>
      </c>
      <c r="Q74" s="636">
        <v>1459716.73</v>
      </c>
      <c r="R74" s="636">
        <v>29894.72</v>
      </c>
    </row>
    <row r="75" ht="17.6" spans="1:18">
      <c r="A75" s="261" t="s">
        <v>24</v>
      </c>
      <c r="B75" s="635">
        <v>13029075.59</v>
      </c>
      <c r="C75" s="52">
        <v>3170427.26</v>
      </c>
      <c r="D75" s="52">
        <v>59708</v>
      </c>
      <c r="E75" s="636">
        <v>1799130.97</v>
      </c>
      <c r="F75" s="636"/>
      <c r="G75" s="52"/>
      <c r="H75" s="52">
        <v>1284987.93</v>
      </c>
      <c r="I75" s="52"/>
      <c r="J75" s="638"/>
      <c r="K75" s="52">
        <v>829619.45</v>
      </c>
      <c r="L75" s="52"/>
      <c r="M75" s="52"/>
      <c r="N75" s="52">
        <v>2176980.31</v>
      </c>
      <c r="O75" s="52"/>
      <c r="P75" s="636">
        <v>104367.27</v>
      </c>
      <c r="Q75" s="636">
        <v>1624916.73</v>
      </c>
      <c r="R75" s="636">
        <v>0</v>
      </c>
    </row>
    <row r="76" ht="17.6" spans="1:18">
      <c r="A76" s="261" t="s">
        <v>25</v>
      </c>
      <c r="B76" s="635">
        <v>12651514.47</v>
      </c>
      <c r="C76" s="52">
        <v>3114167.26</v>
      </c>
      <c r="D76" s="52">
        <v>59708</v>
      </c>
      <c r="E76" s="636">
        <v>1789888.73</v>
      </c>
      <c r="F76" s="636"/>
      <c r="G76" s="52"/>
      <c r="H76" s="339">
        <v>1284987.93</v>
      </c>
      <c r="I76" s="50"/>
      <c r="J76" s="638"/>
      <c r="K76" s="52">
        <v>966865.71</v>
      </c>
      <c r="L76" s="52"/>
      <c r="M76" s="52"/>
      <c r="N76" s="52">
        <v>2176980.31</v>
      </c>
      <c r="O76" s="52"/>
      <c r="P76" s="636">
        <v>64367.27</v>
      </c>
      <c r="Q76" s="636">
        <v>1625616.73</v>
      </c>
      <c r="R76" s="636">
        <v>0</v>
      </c>
    </row>
    <row r="77" ht="17.6" spans="1:18">
      <c r="A77" s="261" t="s">
        <v>26</v>
      </c>
      <c r="B77" s="635">
        <v>12803409.97</v>
      </c>
      <c r="C77" s="52">
        <v>3139167.26</v>
      </c>
      <c r="D77" s="52">
        <v>59708</v>
      </c>
      <c r="E77" s="636">
        <v>1798206.17</v>
      </c>
      <c r="F77" s="636"/>
      <c r="G77" s="52"/>
      <c r="H77" s="52">
        <v>1230818.74</v>
      </c>
      <c r="I77" s="52"/>
      <c r="J77" s="638"/>
      <c r="K77" s="52">
        <v>1055391.91</v>
      </c>
      <c r="L77" s="52"/>
      <c r="M77" s="52"/>
      <c r="N77" s="52">
        <v>2143819.31</v>
      </c>
      <c r="O77" s="52"/>
      <c r="P77" s="636">
        <v>64367.27</v>
      </c>
      <c r="Q77" s="636">
        <v>1635616.73</v>
      </c>
      <c r="R77" s="636">
        <v>0</v>
      </c>
    </row>
    <row r="78" ht="17.6" spans="1:18">
      <c r="A78" s="261" t="s">
        <v>27</v>
      </c>
      <c r="B78" s="635">
        <v>12908817.62</v>
      </c>
      <c r="C78" s="52">
        <v>3200941.14</v>
      </c>
      <c r="D78" s="52">
        <v>59708</v>
      </c>
      <c r="E78" s="636">
        <v>2075534.98</v>
      </c>
      <c r="F78" s="636"/>
      <c r="G78" s="52"/>
      <c r="H78" s="52">
        <v>1391347.5</v>
      </c>
      <c r="I78" s="52"/>
      <c r="J78" s="638"/>
      <c r="K78" s="52">
        <v>1260663.08</v>
      </c>
      <c r="L78" s="52"/>
      <c r="M78" s="52"/>
      <c r="N78" s="52">
        <v>2199436.31</v>
      </c>
      <c r="O78" s="52"/>
      <c r="P78" s="636">
        <v>104390.14</v>
      </c>
      <c r="Q78" s="636">
        <v>1950616.73</v>
      </c>
      <c r="R78" s="636">
        <v>0</v>
      </c>
    </row>
    <row r="79" ht="17.6" spans="1:18">
      <c r="A79" s="261" t="s">
        <v>28</v>
      </c>
      <c r="B79" s="635">
        <v>12458351.68</v>
      </c>
      <c r="C79" s="52">
        <v>3270504.44</v>
      </c>
      <c r="D79" s="52">
        <v>59708</v>
      </c>
      <c r="E79" s="636">
        <v>2017439.47</v>
      </c>
      <c r="F79" s="636"/>
      <c r="G79" s="52"/>
      <c r="H79" s="52">
        <v>1082481.55</v>
      </c>
      <c r="I79" s="52"/>
      <c r="J79" s="638"/>
      <c r="K79" s="52">
        <v>1602845.35</v>
      </c>
      <c r="L79" s="52"/>
      <c r="M79" s="52"/>
      <c r="N79" s="52">
        <v>2193807.1</v>
      </c>
      <c r="O79" s="52"/>
      <c r="P79" s="636">
        <v>160556.62</v>
      </c>
      <c r="Q79" s="636">
        <v>2172846.73</v>
      </c>
      <c r="R79" s="636">
        <v>0</v>
      </c>
    </row>
    <row r="80" ht="17.6" spans="1:18">
      <c r="A80" s="639" t="s">
        <v>29</v>
      </c>
      <c r="B80" s="635">
        <v>11614484.8</v>
      </c>
      <c r="C80" s="52">
        <v>3262692.58</v>
      </c>
      <c r="D80" s="52">
        <v>59708</v>
      </c>
      <c r="E80" s="636">
        <v>1363479.15</v>
      </c>
      <c r="F80" s="636"/>
      <c r="G80" s="52"/>
      <c r="H80" s="52">
        <v>1289061.55</v>
      </c>
      <c r="I80" s="52"/>
      <c r="J80" s="638"/>
      <c r="K80" s="52">
        <v>1484695.82</v>
      </c>
      <c r="L80" s="52"/>
      <c r="M80" s="52"/>
      <c r="N80" s="52">
        <v>2163807.1</v>
      </c>
      <c r="O80" s="52"/>
      <c r="P80" s="636">
        <v>80566.62</v>
      </c>
      <c r="Q80" s="636">
        <v>1799623.39</v>
      </c>
      <c r="R80" s="636">
        <v>0</v>
      </c>
    </row>
    <row r="81" ht="17.6" spans="1:18">
      <c r="A81" s="639" t="s">
        <v>62</v>
      </c>
      <c r="B81" s="635">
        <v>11386352.41</v>
      </c>
      <c r="C81" s="52">
        <v>3084564.81</v>
      </c>
      <c r="D81" s="52">
        <v>59708</v>
      </c>
      <c r="E81" s="636">
        <v>1398760.15</v>
      </c>
      <c r="F81" s="636"/>
      <c r="G81" s="52"/>
      <c r="H81" s="52">
        <v>1671496.55</v>
      </c>
      <c r="I81" s="52"/>
      <c r="J81" s="638"/>
      <c r="K81" s="52">
        <v>1423448.99</v>
      </c>
      <c r="L81" s="52"/>
      <c r="M81" s="52"/>
      <c r="N81" s="52">
        <v>2060421.58</v>
      </c>
      <c r="O81" s="52"/>
      <c r="P81" s="636">
        <v>160331.51</v>
      </c>
      <c r="Q81" s="636">
        <v>1941566.73</v>
      </c>
      <c r="R81" s="636">
        <v>0</v>
      </c>
    </row>
    <row r="82" ht="17.6" spans="1:18">
      <c r="A82" s="639" t="s">
        <v>31</v>
      </c>
      <c r="B82" s="635">
        <v>11089687.68</v>
      </c>
      <c r="C82" s="52">
        <v>3479106.44</v>
      </c>
      <c r="D82" s="52">
        <v>59708</v>
      </c>
      <c r="E82" s="636">
        <v>1044816.15</v>
      </c>
      <c r="F82" s="636"/>
      <c r="G82" s="52"/>
      <c r="H82" s="52">
        <v>1805995.07</v>
      </c>
      <c r="I82" s="52"/>
      <c r="J82" s="638"/>
      <c r="K82" s="52">
        <v>1774504.73</v>
      </c>
      <c r="L82" s="52"/>
      <c r="M82" s="52"/>
      <c r="N82" s="52">
        <v>2095421.58</v>
      </c>
      <c r="O82" s="52"/>
      <c r="P82" s="636">
        <v>188697.76</v>
      </c>
      <c r="Q82" s="636">
        <v>1903230.73</v>
      </c>
      <c r="R82" s="636">
        <v>0</v>
      </c>
    </row>
    <row r="83" ht="17.6" spans="1:18">
      <c r="A83" s="639" t="s">
        <v>32</v>
      </c>
      <c r="B83" s="635">
        <v>11111790.94</v>
      </c>
      <c r="C83" s="52">
        <v>3490964.73</v>
      </c>
      <c r="D83" s="52">
        <v>59708</v>
      </c>
      <c r="E83" s="636">
        <v>1140612.15</v>
      </c>
      <c r="F83" s="636"/>
      <c r="G83" s="52"/>
      <c r="H83" s="52">
        <v>2320885.99</v>
      </c>
      <c r="I83" s="52"/>
      <c r="J83" s="638"/>
      <c r="K83" s="52">
        <v>1694693.98</v>
      </c>
      <c r="L83" s="52"/>
      <c r="M83" s="52"/>
      <c r="N83" s="52">
        <v>2102216.58</v>
      </c>
      <c r="O83" s="52"/>
      <c r="P83" s="636">
        <v>148697.76</v>
      </c>
      <c r="Q83" s="636">
        <v>1781987.39</v>
      </c>
      <c r="R83" s="636">
        <v>0</v>
      </c>
    </row>
    <row r="84" ht="17.6" spans="1:18">
      <c r="A84" s="639" t="s">
        <v>33</v>
      </c>
      <c r="B84" s="635">
        <v>11603166.15</v>
      </c>
      <c r="C84" s="52">
        <v>3554584.83</v>
      </c>
      <c r="D84" s="52">
        <v>59708</v>
      </c>
      <c r="E84" s="636">
        <v>1291816.15</v>
      </c>
      <c r="F84" s="636"/>
      <c r="G84" s="52"/>
      <c r="H84" s="52">
        <v>1947136.57</v>
      </c>
      <c r="I84" s="52"/>
      <c r="J84" s="638"/>
      <c r="K84" s="52">
        <v>1634826.57</v>
      </c>
      <c r="L84" s="52"/>
      <c r="M84" s="52"/>
      <c r="N84" s="52">
        <v>2060299.58</v>
      </c>
      <c r="O84" s="52"/>
      <c r="P84" s="636">
        <v>63102.87</v>
      </c>
      <c r="Q84" s="636">
        <v>1705323.39</v>
      </c>
      <c r="R84" s="636">
        <v>24000</v>
      </c>
    </row>
    <row r="85" ht="17.6" spans="1:18">
      <c r="A85" s="639" t="s">
        <v>34</v>
      </c>
      <c r="B85" s="635">
        <v>12050204.24</v>
      </c>
      <c r="C85" s="52">
        <v>3626474.76</v>
      </c>
      <c r="D85" s="52">
        <v>59708</v>
      </c>
      <c r="E85" s="636">
        <v>1227305.15</v>
      </c>
      <c r="F85" s="636"/>
      <c r="G85" s="52"/>
      <c r="H85" s="339">
        <v>2256497.57</v>
      </c>
      <c r="I85" s="50"/>
      <c r="J85" s="638"/>
      <c r="K85" s="52">
        <v>1701075.67</v>
      </c>
      <c r="L85" s="52"/>
      <c r="M85" s="52"/>
      <c r="N85" s="52">
        <v>2060299.58</v>
      </c>
      <c r="O85" s="52"/>
      <c r="P85" s="636">
        <v>85702.87</v>
      </c>
      <c r="Q85" s="636">
        <v>1827287.39</v>
      </c>
      <c r="R85" s="636">
        <v>24000</v>
      </c>
    </row>
    <row r="86" ht="17.6" spans="1:18">
      <c r="A86" s="639" t="s">
        <v>63</v>
      </c>
      <c r="B86" s="635">
        <v>12065976.59</v>
      </c>
      <c r="C86" s="52">
        <v>3560694.18</v>
      </c>
      <c r="D86" s="52">
        <v>59708</v>
      </c>
      <c r="E86" s="636">
        <v>1360052.35</v>
      </c>
      <c r="F86" s="636"/>
      <c r="G86" s="52"/>
      <c r="H86" s="52">
        <v>2430297.57</v>
      </c>
      <c r="I86" s="52"/>
      <c r="J86" s="638"/>
      <c r="K86" s="52">
        <v>1762376.56</v>
      </c>
      <c r="L86" s="52"/>
      <c r="M86" s="52"/>
      <c r="N86" s="52">
        <v>2050299.58</v>
      </c>
      <c r="O86" s="52"/>
      <c r="P86" s="636">
        <v>85702.87</v>
      </c>
      <c r="Q86" s="636">
        <v>1736034.38</v>
      </c>
      <c r="R86" s="636">
        <v>25000</v>
      </c>
    </row>
    <row r="87" ht="17.6" spans="1:18">
      <c r="A87" s="639" t="s">
        <v>36</v>
      </c>
      <c r="B87" s="635">
        <v>12571457.45</v>
      </c>
      <c r="C87" s="52">
        <v>3705449.11</v>
      </c>
      <c r="D87" s="52">
        <v>59708</v>
      </c>
      <c r="E87" s="636">
        <v>1201161.35</v>
      </c>
      <c r="F87" s="636"/>
      <c r="G87" s="52"/>
      <c r="H87" s="52">
        <v>2662599.38</v>
      </c>
      <c r="I87" s="52"/>
      <c r="J87" s="638"/>
      <c r="K87" s="52">
        <v>1788502.42</v>
      </c>
      <c r="L87" s="52"/>
      <c r="M87" s="52"/>
      <c r="N87" s="52">
        <v>2064862.75</v>
      </c>
      <c r="O87" s="52"/>
      <c r="P87" s="636">
        <v>299198.17</v>
      </c>
      <c r="Q87" s="636">
        <v>1779534.38</v>
      </c>
      <c r="R87" s="636">
        <v>23750</v>
      </c>
    </row>
    <row r="88" ht="17.6" spans="1:18">
      <c r="A88" s="639" t="s">
        <v>37</v>
      </c>
      <c r="B88" s="635">
        <v>11889039.4</v>
      </c>
      <c r="C88" s="52">
        <v>3592623.21</v>
      </c>
      <c r="D88" s="52">
        <v>59708</v>
      </c>
      <c r="E88" s="636">
        <v>1205291.35</v>
      </c>
      <c r="F88" s="636"/>
      <c r="G88" s="52"/>
      <c r="H88" s="52">
        <v>2798408.45</v>
      </c>
      <c r="I88" s="52"/>
      <c r="J88" s="638"/>
      <c r="K88" s="52">
        <v>1747474.04</v>
      </c>
      <c r="L88" s="52"/>
      <c r="M88" s="52"/>
      <c r="N88" s="52">
        <v>1969862.75</v>
      </c>
      <c r="O88" s="52"/>
      <c r="P88" s="636">
        <v>186398.17</v>
      </c>
      <c r="Q88" s="636">
        <v>1285797.39</v>
      </c>
      <c r="R88" s="636">
        <v>47500</v>
      </c>
    </row>
    <row r="89" ht="17.6" spans="1:18">
      <c r="A89" s="639" t="s">
        <v>38</v>
      </c>
      <c r="B89" s="635">
        <v>11435663.47</v>
      </c>
      <c r="C89" s="52">
        <v>3647623.21</v>
      </c>
      <c r="D89" s="52">
        <v>59708</v>
      </c>
      <c r="E89" s="636">
        <v>1549145.35</v>
      </c>
      <c r="F89" s="636"/>
      <c r="G89" s="52"/>
      <c r="H89" s="52">
        <v>2700735.44</v>
      </c>
      <c r="I89" s="52"/>
      <c r="J89" s="638"/>
      <c r="K89" s="52">
        <v>2013365.7</v>
      </c>
      <c r="L89" s="52"/>
      <c r="M89" s="52"/>
      <c r="N89" s="52">
        <v>1966418.92</v>
      </c>
      <c r="O89" s="52"/>
      <c r="P89" s="636">
        <v>186398.17</v>
      </c>
      <c r="Q89" s="636">
        <v>1295797.39</v>
      </c>
      <c r="R89" s="636">
        <v>23750</v>
      </c>
    </row>
    <row r="90" ht="17.6" spans="1:18">
      <c r="A90" s="639" t="s">
        <v>39</v>
      </c>
      <c r="B90" s="635">
        <v>12052234.55</v>
      </c>
      <c r="C90" s="52">
        <v>3965911.13</v>
      </c>
      <c r="D90" s="52">
        <v>59708</v>
      </c>
      <c r="E90" s="636">
        <v>1666327.35</v>
      </c>
      <c r="F90" s="636"/>
      <c r="G90" s="52"/>
      <c r="H90" s="52">
        <v>2843527.44</v>
      </c>
      <c r="I90" s="52"/>
      <c r="J90" s="638"/>
      <c r="K90" s="52">
        <v>2037252.72</v>
      </c>
      <c r="L90" s="52"/>
      <c r="M90" s="52"/>
      <c r="N90" s="52">
        <v>1966418.92</v>
      </c>
      <c r="O90" s="52"/>
      <c r="P90" s="636">
        <v>244198.17</v>
      </c>
      <c r="Q90" s="636">
        <v>1265797.39</v>
      </c>
      <c r="R90" s="636">
        <v>23750</v>
      </c>
    </row>
    <row r="91" ht="17.6" spans="1:18">
      <c r="A91" s="555" t="s">
        <v>64</v>
      </c>
      <c r="B91" s="635">
        <v>12235593.27</v>
      </c>
      <c r="C91" s="52">
        <v>3936674.25</v>
      </c>
      <c r="D91" s="52">
        <v>59708</v>
      </c>
      <c r="E91" s="636">
        <v>1498577.75</v>
      </c>
      <c r="F91" s="636"/>
      <c r="G91" s="52"/>
      <c r="H91" s="52">
        <v>3476870.81</v>
      </c>
      <c r="I91" s="52"/>
      <c r="J91" s="638"/>
      <c r="K91" s="52">
        <v>2345877.18</v>
      </c>
      <c r="L91" s="52"/>
      <c r="M91" s="52"/>
      <c r="N91" s="52">
        <v>1976418.92</v>
      </c>
      <c r="O91" s="52"/>
      <c r="P91" s="636">
        <v>242037.3</v>
      </c>
      <c r="Q91" s="636">
        <v>1384961.39</v>
      </c>
      <c r="R91" s="636">
        <v>0</v>
      </c>
    </row>
    <row r="92" ht="17.6" spans="1:18">
      <c r="A92" s="639" t="s">
        <v>41</v>
      </c>
      <c r="B92" s="635">
        <v>13149807.18</v>
      </c>
      <c r="C92" s="52">
        <v>3991005.45</v>
      </c>
      <c r="D92" s="52">
        <v>59708</v>
      </c>
      <c r="E92" s="636">
        <v>1512028.75</v>
      </c>
      <c r="F92" s="636"/>
      <c r="G92" s="52"/>
      <c r="H92" s="52">
        <v>3652642.38</v>
      </c>
      <c r="I92" s="52"/>
      <c r="J92" s="638"/>
      <c r="K92" s="52">
        <v>2440177.57</v>
      </c>
      <c r="L92" s="52"/>
      <c r="M92" s="52"/>
      <c r="N92" s="52">
        <v>1984801.92</v>
      </c>
      <c r="O92" s="52"/>
      <c r="P92" s="636">
        <v>219837.3</v>
      </c>
      <c r="Q92" s="636">
        <v>1384961.39</v>
      </c>
      <c r="R92" s="636">
        <v>0</v>
      </c>
    </row>
    <row r="93" ht="17.6" spans="1:18">
      <c r="A93" s="639" t="s">
        <v>42</v>
      </c>
      <c r="B93" s="635">
        <v>13209397.46</v>
      </c>
      <c r="C93" s="52">
        <v>3782521.52</v>
      </c>
      <c r="D93" s="52">
        <v>59708</v>
      </c>
      <c r="E93" s="636">
        <v>1648022.75</v>
      </c>
      <c r="F93" s="636"/>
      <c r="G93" s="52"/>
      <c r="H93" s="52">
        <v>3745758.38</v>
      </c>
      <c r="I93" s="52"/>
      <c r="J93" s="638"/>
      <c r="K93" s="52">
        <v>2387251.36</v>
      </c>
      <c r="L93" s="52"/>
      <c r="M93" s="52"/>
      <c r="N93" s="52">
        <v>2001601.92</v>
      </c>
      <c r="O93" s="52"/>
      <c r="P93" s="636">
        <v>217037.3</v>
      </c>
      <c r="Q93" s="636">
        <v>1349961.39</v>
      </c>
      <c r="R93" s="636">
        <v>54000</v>
      </c>
    </row>
    <row r="94" ht="17.6" spans="1:18">
      <c r="A94" s="639" t="s">
        <v>65</v>
      </c>
      <c r="B94" s="635">
        <v>13502618.83</v>
      </c>
      <c r="C94" s="52">
        <v>3533371.22</v>
      </c>
      <c r="D94" s="52">
        <v>59708</v>
      </c>
      <c r="E94" s="636">
        <v>1253670.75</v>
      </c>
      <c r="F94" s="636"/>
      <c r="G94" s="52"/>
      <c r="H94" s="52">
        <v>3948158.38</v>
      </c>
      <c r="I94" s="52"/>
      <c r="J94" s="638"/>
      <c r="K94" s="52">
        <v>2366430.36</v>
      </c>
      <c r="L94" s="52"/>
      <c r="M94" s="52"/>
      <c r="N94" s="52">
        <v>2045594.27</v>
      </c>
      <c r="O94" s="52"/>
      <c r="P94" s="636">
        <v>232057.3</v>
      </c>
      <c r="Q94" s="636">
        <v>1410961.39</v>
      </c>
      <c r="R94" s="636">
        <v>0</v>
      </c>
    </row>
    <row r="95" ht="17.6" spans="1:18">
      <c r="A95" s="639" t="s">
        <v>66</v>
      </c>
      <c r="B95" s="635">
        <v>12711490.32</v>
      </c>
      <c r="C95" s="52">
        <v>3605067.22</v>
      </c>
      <c r="D95" s="52">
        <v>59708</v>
      </c>
      <c r="E95" s="636">
        <v>1233630.75</v>
      </c>
      <c r="F95" s="636"/>
      <c r="G95" s="52"/>
      <c r="H95" s="52">
        <v>4104083.16</v>
      </c>
      <c r="I95" s="52"/>
      <c r="J95" s="638"/>
      <c r="K95" s="52">
        <v>2282128.49</v>
      </c>
      <c r="L95" s="52"/>
      <c r="M95" s="52"/>
      <c r="N95" s="52">
        <v>1892743.52</v>
      </c>
      <c r="O95" s="52"/>
      <c r="P95" s="636">
        <v>193057.3</v>
      </c>
      <c r="Q95" s="636">
        <v>1410961.39</v>
      </c>
      <c r="R95" s="636">
        <v>12474</v>
      </c>
    </row>
    <row r="96" ht="17.6" spans="1:18">
      <c r="A96" s="639" t="s">
        <v>45</v>
      </c>
      <c r="B96" s="635">
        <v>12643240.92</v>
      </c>
      <c r="C96" s="52">
        <v>3550067.22</v>
      </c>
      <c r="D96" s="52">
        <v>59708</v>
      </c>
      <c r="E96" s="636">
        <v>1394391.85</v>
      </c>
      <c r="F96" s="636"/>
      <c r="G96" s="52"/>
      <c r="H96" s="52">
        <v>4314258.55</v>
      </c>
      <c r="I96" s="52"/>
      <c r="J96" s="638"/>
      <c r="K96" s="52">
        <v>2199451.1</v>
      </c>
      <c r="L96" s="52"/>
      <c r="M96" s="52"/>
      <c r="N96" s="52">
        <v>2008457.9</v>
      </c>
      <c r="O96" s="52"/>
      <c r="P96" s="636">
        <v>247037.3</v>
      </c>
      <c r="Q96" s="636">
        <v>1447961.39</v>
      </c>
      <c r="R96" s="636">
        <v>34541.03</v>
      </c>
    </row>
    <row r="97" ht="17.6" spans="1:18">
      <c r="A97" s="639" t="s">
        <v>46</v>
      </c>
      <c r="B97" s="635">
        <v>12442432.59</v>
      </c>
      <c r="C97" s="52">
        <v>3478371.22</v>
      </c>
      <c r="D97" s="52">
        <v>59708</v>
      </c>
      <c r="E97" s="636">
        <v>1212911.88</v>
      </c>
      <c r="F97" s="636"/>
      <c r="G97" s="52"/>
      <c r="H97" s="52">
        <v>4234758.55</v>
      </c>
      <c r="I97" s="52"/>
      <c r="J97" s="638"/>
      <c r="K97" s="52">
        <v>2269002.08</v>
      </c>
      <c r="L97" s="52"/>
      <c r="M97" s="52"/>
      <c r="N97" s="52">
        <v>2008457.9</v>
      </c>
      <c r="O97" s="52"/>
      <c r="P97" s="636">
        <v>158237.3</v>
      </c>
      <c r="Q97" s="636">
        <v>1479362.39</v>
      </c>
      <c r="R97" s="636">
        <v>12474</v>
      </c>
    </row>
    <row r="98" ht="17.6" spans="1:18">
      <c r="A98" s="639" t="s">
        <v>47</v>
      </c>
      <c r="B98" s="635">
        <v>11591970.03</v>
      </c>
      <c r="C98" s="52">
        <v>3275457.48</v>
      </c>
      <c r="D98" s="52">
        <v>59708</v>
      </c>
      <c r="E98" s="636">
        <v>1239906.88</v>
      </c>
      <c r="F98" s="636"/>
      <c r="G98" s="52"/>
      <c r="H98" s="52">
        <v>4245858.55</v>
      </c>
      <c r="I98" s="52"/>
      <c r="J98" s="638"/>
      <c r="K98" s="52">
        <v>2160075.96</v>
      </c>
      <c r="L98" s="52"/>
      <c r="M98" s="52"/>
      <c r="N98" s="52">
        <v>2020799.05</v>
      </c>
      <c r="O98" s="52"/>
      <c r="P98" s="636">
        <v>158237.3</v>
      </c>
      <c r="Q98" s="636">
        <v>1479362.39</v>
      </c>
      <c r="R98" s="636">
        <v>12474</v>
      </c>
    </row>
    <row r="99" ht="17.6" spans="1:18">
      <c r="A99" s="639" t="s">
        <v>48</v>
      </c>
      <c r="B99" s="635">
        <v>11219652</v>
      </c>
      <c r="C99" s="52">
        <v>3524107.08</v>
      </c>
      <c r="D99" s="52">
        <v>59708</v>
      </c>
      <c r="E99" s="636">
        <v>1311978.88</v>
      </c>
      <c r="F99" s="636"/>
      <c r="G99" s="52"/>
      <c r="H99" s="52">
        <v>4261045.55</v>
      </c>
      <c r="I99" s="52"/>
      <c r="J99" s="638"/>
      <c r="K99" s="52">
        <v>2135390.96</v>
      </c>
      <c r="L99" s="52"/>
      <c r="M99" s="52"/>
      <c r="N99" s="52">
        <v>1972303.3</v>
      </c>
      <c r="O99" s="52"/>
      <c r="P99" s="636">
        <v>158237.3</v>
      </c>
      <c r="Q99" s="636">
        <v>1508678.14</v>
      </c>
      <c r="R99" s="636">
        <v>12474</v>
      </c>
    </row>
    <row r="100" ht="17.6" spans="1:18">
      <c r="A100" s="555"/>
      <c r="B100" s="347"/>
      <c r="C100" s="642"/>
      <c r="D100" s="642"/>
      <c r="E100" s="643"/>
      <c r="F100" s="643"/>
      <c r="G100" s="642"/>
      <c r="H100" s="642"/>
      <c r="I100" s="642"/>
      <c r="J100" s="622"/>
      <c r="K100" s="4"/>
      <c r="L100" s="642"/>
      <c r="M100" s="642"/>
      <c r="N100" s="642"/>
      <c r="O100" s="622"/>
      <c r="P100" s="643"/>
      <c r="Q100" s="643"/>
      <c r="R100" s="622"/>
    </row>
    <row r="101" ht="17.6" spans="1:18">
      <c r="A101" s="22"/>
      <c r="B101" s="347"/>
      <c r="C101" s="642"/>
      <c r="D101" s="642"/>
      <c r="F101" s="5"/>
      <c r="G101" s="642"/>
      <c r="H101" s="642"/>
      <c r="I101" s="642"/>
      <c r="K101" s="5"/>
      <c r="L101" s="642"/>
      <c r="M101" s="642"/>
      <c r="N101" s="642"/>
      <c r="Q101" s="643"/>
    </row>
    <row r="102" ht="17.6" spans="1:18">
      <c r="A102" s="22"/>
      <c r="B102" s="347"/>
      <c r="C102" s="642"/>
      <c r="D102" s="642"/>
      <c r="F102" s="147"/>
      <c r="G102" s="642"/>
      <c r="H102" s="642"/>
      <c r="I102" s="642"/>
      <c r="K102" s="5"/>
      <c r="L102" s="642"/>
      <c r="M102" s="642"/>
      <c r="N102" s="642"/>
      <c r="Q102" s="643"/>
    </row>
    <row r="103" ht="17.6" spans="1:18">
      <c r="A103" s="22"/>
      <c r="B103" s="347"/>
      <c r="K103" s="147"/>
      <c r="L103" s="48"/>
      <c r="M103" s="48"/>
      <c r="N103" s="48"/>
      <c r="Q103" s="643"/>
    </row>
    <row r="104" ht="17.6" spans="1:18">
      <c r="A104" s="5"/>
      <c r="B104"/>
      <c r="C104" s="21"/>
      <c r="D104" s="21"/>
      <c r="E104"/>
      <c r="Q104" s="643"/>
    </row>
    <row r="105" ht="17.6" spans="1:18">
      <c r="A105" s="164"/>
      <c r="B105" s="25"/>
      <c r="C105" s="347"/>
      <c r="D105" s="347"/>
      <c r="E105" s="642"/>
      <c r="Q105" s="643"/>
    </row>
    <row r="106" ht="17.6" spans="1:18">
      <c r="C106" s="347"/>
      <c r="D106" s="347"/>
      <c r="E106" s="642"/>
      <c r="Q106" s="643"/>
    </row>
    <row r="107" ht="17.6" spans="1:18">
      <c r="C107" s="347"/>
      <c r="D107" s="347"/>
      <c r="E107" s="642"/>
      <c r="Q107" s="643"/>
    </row>
    <row r="108" ht="17.6" spans="1:18">
      <c r="C108" s="347"/>
      <c r="D108" s="347"/>
      <c r="E108" s="642"/>
      <c r="Q108" s="643"/>
    </row>
    <row r="109" ht="17.6" spans="1:18">
      <c r="C109" s="347"/>
      <c r="D109" s="347"/>
      <c r="E109" s="642"/>
      <c r="Q109" s="643"/>
    </row>
    <row r="110" ht="17.6" spans="1:18">
      <c r="C110" s="347"/>
      <c r="D110" s="347"/>
      <c r="E110" s="642"/>
      <c r="Q110" s="643"/>
    </row>
    <row r="111" ht="17.6" spans="1:18">
      <c r="C111"/>
      <c r="D111"/>
      <c r="E111" s="5"/>
      <c r="Q111" s="643"/>
    </row>
    <row r="112" spans="1:18">
      <c r="C112" s="25"/>
      <c r="D112" s="25"/>
      <c r="Q112" s="643"/>
    </row>
  </sheetData>
  <mergeCells count="203">
    <mergeCell ref="E51:F51"/>
    <mergeCell ref="H51:I51"/>
    <mergeCell ref="K51:L51"/>
    <mergeCell ref="E52:F52"/>
    <mergeCell ref="H52:I52"/>
    <mergeCell ref="K52:L52"/>
    <mergeCell ref="N52:O52"/>
    <mergeCell ref="E53:F53"/>
    <mergeCell ref="H53:I53"/>
    <mergeCell ref="K53:L53"/>
    <mergeCell ref="N53:O53"/>
    <mergeCell ref="E54:F54"/>
    <mergeCell ref="H54:I54"/>
    <mergeCell ref="K54:L54"/>
    <mergeCell ref="N54:O54"/>
    <mergeCell ref="E55:F55"/>
    <mergeCell ref="H55:I55"/>
    <mergeCell ref="K55:L55"/>
    <mergeCell ref="N55:O55"/>
    <mergeCell ref="E56:F56"/>
    <mergeCell ref="H56:I56"/>
    <mergeCell ref="K56:L56"/>
    <mergeCell ref="N56:O56"/>
    <mergeCell ref="E57:F57"/>
    <mergeCell ref="H57:I57"/>
    <mergeCell ref="K57:L57"/>
    <mergeCell ref="N57:O57"/>
    <mergeCell ref="E58:F58"/>
    <mergeCell ref="H58:I58"/>
    <mergeCell ref="K58:L58"/>
    <mergeCell ref="N58:O58"/>
    <mergeCell ref="E59:F59"/>
    <mergeCell ref="H59:I59"/>
    <mergeCell ref="K59:L59"/>
    <mergeCell ref="N59:O59"/>
    <mergeCell ref="E60:F60"/>
    <mergeCell ref="H60:I60"/>
    <mergeCell ref="K60:L60"/>
    <mergeCell ref="N60:O60"/>
    <mergeCell ref="E61:F61"/>
    <mergeCell ref="H61:I61"/>
    <mergeCell ref="K61:L61"/>
    <mergeCell ref="N61:O61"/>
    <mergeCell ref="E62:F62"/>
    <mergeCell ref="H62:I62"/>
    <mergeCell ref="K62:L62"/>
    <mergeCell ref="N62:O62"/>
    <mergeCell ref="E63:F63"/>
    <mergeCell ref="H63:I63"/>
    <mergeCell ref="K63:L63"/>
    <mergeCell ref="N63:O63"/>
    <mergeCell ref="E64:F64"/>
    <mergeCell ref="H64:I64"/>
    <mergeCell ref="K64:L64"/>
    <mergeCell ref="N64:O64"/>
    <mergeCell ref="E65:F65"/>
    <mergeCell ref="H65:I65"/>
    <mergeCell ref="K65:L65"/>
    <mergeCell ref="N65:O65"/>
    <mergeCell ref="E66:F66"/>
    <mergeCell ref="H66:I66"/>
    <mergeCell ref="K66:L66"/>
    <mergeCell ref="N66:O66"/>
    <mergeCell ref="E67:F67"/>
    <mergeCell ref="H67:I67"/>
    <mergeCell ref="K67:L67"/>
    <mergeCell ref="N67:O67"/>
    <mergeCell ref="E68:F68"/>
    <mergeCell ref="H68:I68"/>
    <mergeCell ref="K68:L68"/>
    <mergeCell ref="N68:O68"/>
    <mergeCell ref="E69:F69"/>
    <mergeCell ref="H69:I69"/>
    <mergeCell ref="K69:L69"/>
    <mergeCell ref="N69:O69"/>
    <mergeCell ref="E70:F70"/>
    <mergeCell ref="H70:I70"/>
    <mergeCell ref="K70:L70"/>
    <mergeCell ref="N70:O70"/>
    <mergeCell ref="E71:F71"/>
    <mergeCell ref="H71:I71"/>
    <mergeCell ref="K71:L71"/>
    <mergeCell ref="N71:O71"/>
    <mergeCell ref="E72:F72"/>
    <mergeCell ref="H72:I72"/>
    <mergeCell ref="K72:L72"/>
    <mergeCell ref="N72:O72"/>
    <mergeCell ref="E73:F73"/>
    <mergeCell ref="H73:I73"/>
    <mergeCell ref="K73:L73"/>
    <mergeCell ref="N73:O73"/>
    <mergeCell ref="E74:F74"/>
    <mergeCell ref="H74:I74"/>
    <mergeCell ref="K74:L74"/>
    <mergeCell ref="N74:O74"/>
    <mergeCell ref="E75:F75"/>
    <mergeCell ref="H75:I75"/>
    <mergeCell ref="K75:L75"/>
    <mergeCell ref="N75:O75"/>
    <mergeCell ref="E76:F76"/>
    <mergeCell ref="H76:I76"/>
    <mergeCell ref="K76:L76"/>
    <mergeCell ref="N76:O76"/>
    <mergeCell ref="E77:F77"/>
    <mergeCell ref="H77:I77"/>
    <mergeCell ref="K77:L77"/>
    <mergeCell ref="N77:O77"/>
    <mergeCell ref="E78:F78"/>
    <mergeCell ref="H78:I78"/>
    <mergeCell ref="K78:L78"/>
    <mergeCell ref="N78:O78"/>
    <mergeCell ref="E79:F79"/>
    <mergeCell ref="H79:I79"/>
    <mergeCell ref="K79:L79"/>
    <mergeCell ref="N79:O79"/>
    <mergeCell ref="E80:F80"/>
    <mergeCell ref="H80:I80"/>
    <mergeCell ref="K80:L80"/>
    <mergeCell ref="N80:O80"/>
    <mergeCell ref="E81:F81"/>
    <mergeCell ref="H81:I81"/>
    <mergeCell ref="K81:L81"/>
    <mergeCell ref="N81:O81"/>
    <mergeCell ref="E82:F82"/>
    <mergeCell ref="H82:I82"/>
    <mergeCell ref="K82:L82"/>
    <mergeCell ref="N82:O82"/>
    <mergeCell ref="E83:F83"/>
    <mergeCell ref="H83:I83"/>
    <mergeCell ref="K83:L83"/>
    <mergeCell ref="N83:O83"/>
    <mergeCell ref="E84:F84"/>
    <mergeCell ref="H84:I84"/>
    <mergeCell ref="K84:L84"/>
    <mergeCell ref="N84:O84"/>
    <mergeCell ref="E85:F85"/>
    <mergeCell ref="H85:I85"/>
    <mergeCell ref="K85:L85"/>
    <mergeCell ref="N85:O85"/>
    <mergeCell ref="E86:F86"/>
    <mergeCell ref="H86:I86"/>
    <mergeCell ref="K86:L86"/>
    <mergeCell ref="N86:O86"/>
    <mergeCell ref="E87:F87"/>
    <mergeCell ref="H87:I87"/>
    <mergeCell ref="K87:L87"/>
    <mergeCell ref="N87:O87"/>
    <mergeCell ref="E88:F88"/>
    <mergeCell ref="H88:I88"/>
    <mergeCell ref="K88:L88"/>
    <mergeCell ref="N88:O88"/>
    <mergeCell ref="E89:F89"/>
    <mergeCell ref="H89:I89"/>
    <mergeCell ref="K89:L89"/>
    <mergeCell ref="N89:O89"/>
    <mergeCell ref="E90:F90"/>
    <mergeCell ref="H90:I90"/>
    <mergeCell ref="K90:L90"/>
    <mergeCell ref="N90:O90"/>
    <mergeCell ref="E91:F91"/>
    <mergeCell ref="H91:I91"/>
    <mergeCell ref="K91:L91"/>
    <mergeCell ref="N91:O91"/>
    <mergeCell ref="E92:F92"/>
    <mergeCell ref="H92:I92"/>
    <mergeCell ref="K92:L92"/>
    <mergeCell ref="N92:O92"/>
    <mergeCell ref="E93:F93"/>
    <mergeCell ref="H93:I93"/>
    <mergeCell ref="K93:L93"/>
    <mergeCell ref="N93:O93"/>
    <mergeCell ref="E94:F94"/>
    <mergeCell ref="H94:I94"/>
    <mergeCell ref="K94:L94"/>
    <mergeCell ref="N94:O94"/>
    <mergeCell ref="E95:F95"/>
    <mergeCell ref="H95:I95"/>
    <mergeCell ref="K95:L95"/>
    <mergeCell ref="N95:O95"/>
    <mergeCell ref="E96:F96"/>
    <mergeCell ref="H96:I96"/>
    <mergeCell ref="K96:L96"/>
    <mergeCell ref="N96:O96"/>
    <mergeCell ref="E97:F97"/>
    <mergeCell ref="H97:I97"/>
    <mergeCell ref="K97:L97"/>
    <mergeCell ref="N97:O97"/>
    <mergeCell ref="E98:F98"/>
    <mergeCell ref="H98:I98"/>
    <mergeCell ref="K98:L98"/>
    <mergeCell ref="N98:O98"/>
    <mergeCell ref="E99:F99"/>
    <mergeCell ref="H99:I99"/>
    <mergeCell ref="K99:L99"/>
    <mergeCell ref="N99:O99"/>
    <mergeCell ref="E100:F100"/>
    <mergeCell ref="G100:I100"/>
    <mergeCell ref="L100:N100"/>
    <mergeCell ref="G101:I101"/>
    <mergeCell ref="L101:N101"/>
    <mergeCell ref="G102:I102"/>
    <mergeCell ref="L102:N102"/>
    <mergeCell ref="L103:N10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7.6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7.6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7.6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34"/>
  <sheetViews>
    <sheetView zoomScale="85" zoomScaleNormal="85" workbookViewId="0">
      <selection activeCell="K31" sqref="K31"/>
    </sheetView>
  </sheetViews>
  <sheetFormatPr defaultColWidth="11" defaultRowHeight="17.6"/>
  <cols>
    <col min="1" max="1" width="17.875" customWidth="1"/>
    <col min="5" max="5" width="12.25" customWidth="1"/>
    <col min="6" max="6" width="20.625" customWidth="1"/>
    <col min="7" max="7" width="19.875" customWidth="1"/>
    <col min="8" max="8" width="8.375" customWidth="1"/>
    <col min="9" max="9" width="22.375" customWidth="1"/>
    <col min="10" max="10" width="5.125" customWidth="1"/>
    <col min="11" max="11" width="15.5" customWidth="1"/>
  </cols>
  <sheetData>
    <row r="2" ht="20.4" spans="2:12">
      <c r="D2" s="573" t="s">
        <v>67</v>
      </c>
      <c r="E2" s="573"/>
      <c r="I2" s="573" t="s">
        <v>68</v>
      </c>
      <c r="J2" s="574"/>
      <c r="K2" s="575" t="s">
        <v>69</v>
      </c>
    </row>
    <row r="3" ht="18.35"/>
    <row r="4" ht="23.95" spans="2:12">
      <c r="B4" s="551" t="s">
        <v>70</v>
      </c>
      <c r="C4" s="552"/>
      <c r="D4" s="552"/>
      <c r="E4" s="552"/>
      <c r="F4" s="553"/>
      <c r="G4" s="576">
        <f>NABIL!H265</f>
        <v>11219652</v>
      </c>
      <c r="I4" s="577">
        <f>NABIL!H269</f>
        <v>11591970.03</v>
      </c>
      <c r="J4" s="578"/>
      <c r="K4" s="579">
        <f>+($G4-I4)/I4</f>
        <v>-0.0321186156482842</v>
      </c>
      <c r="L4" s="580"/>
    </row>
    <row r="5" ht="23.95" spans="2:12">
      <c r="I5" s="581"/>
      <c r="J5" s="580"/>
      <c r="K5" s="582"/>
    </row>
    <row r="6" ht="23.95" spans="2:12">
      <c r="B6" s="32" t="s">
        <v>71</v>
      </c>
      <c r="C6" s="33"/>
      <c r="D6" s="33"/>
      <c r="E6" s="33"/>
      <c r="F6" s="34"/>
      <c r="G6" s="576">
        <f>OMAR!H64</f>
        <v>3524107.08</v>
      </c>
      <c r="I6" s="577">
        <f>OMAR!H66</f>
        <v>3275457.48</v>
      </c>
      <c r="J6" s="578"/>
      <c r="K6" s="583">
        <f>+(G6-I6)/I6</f>
        <v>0.075912937816552</v>
      </c>
    </row>
    <row r="7" ht="23.95" spans="2:12">
      <c r="I7" s="581"/>
      <c r="J7" s="580"/>
      <c r="K7" s="584"/>
    </row>
    <row r="8" ht="23.95" spans="2:12">
      <c r="B8" s="32" t="s">
        <v>72</v>
      </c>
      <c r="C8" s="33"/>
      <c r="D8" s="33"/>
      <c r="E8" s="33"/>
      <c r="F8" s="34"/>
      <c r="G8" s="576">
        <f>DIRECTION!H10</f>
        <v>59708</v>
      </c>
      <c r="I8" s="577">
        <f>DIRECTION!H13</f>
        <v>59708</v>
      </c>
      <c r="J8" s="578"/>
      <c r="K8" s="579">
        <f t="shared" ref="K8:K22" si="0">+(G8-I8)/I8</f>
        <v>0</v>
      </c>
    </row>
    <row r="9" ht="23.95" spans="2:12">
      <c r="I9" s="585"/>
      <c r="J9" s="580"/>
      <c r="K9" s="586"/>
    </row>
    <row r="10" ht="23.95" spans="2:12">
      <c r="B10" s="32" t="s">
        <v>73</v>
      </c>
      <c r="C10" s="33"/>
      <c r="D10" s="33"/>
      <c r="E10" s="33"/>
      <c r="F10" s="34"/>
      <c r="G10" s="576">
        <f>FAYCAL!H42</f>
        <v>1311978.88</v>
      </c>
      <c r="I10" s="577">
        <f>FAYCAL!H45</f>
        <v>1239906.88</v>
      </c>
      <c r="J10" s="578"/>
      <c r="K10" s="583">
        <f t="shared" si="0"/>
        <v>0.0581269457912839</v>
      </c>
    </row>
    <row r="11" ht="23.95" spans="2:12">
      <c r="B11" s="323"/>
      <c r="C11" s="323"/>
      <c r="D11" s="323"/>
      <c r="E11" s="323"/>
      <c r="F11" s="323"/>
      <c r="G11" s="531"/>
      <c r="I11" s="585"/>
      <c r="J11" s="578"/>
      <c r="K11" s="587"/>
    </row>
    <row r="12" ht="23.95" spans="2:12">
      <c r="B12" s="32" t="s">
        <v>74</v>
      </c>
      <c r="C12" s="33"/>
      <c r="D12" s="33"/>
      <c r="E12" s="33"/>
      <c r="F12" s="34"/>
      <c r="G12" s="576">
        <f>NAOUFAL!I97</f>
        <v>4261045.55</v>
      </c>
      <c r="I12" s="577">
        <f>NAOUFAL!I100</f>
        <v>4245858.55</v>
      </c>
      <c r="J12" s="578"/>
      <c r="K12" s="579">
        <f t="shared" si="0"/>
        <v>0.00357689730384447</v>
      </c>
    </row>
    <row r="13" ht="23.95" spans="2:12">
      <c r="B13" s="323"/>
      <c r="C13" s="323"/>
      <c r="D13" s="323"/>
      <c r="E13" s="323"/>
      <c r="F13" s="323"/>
      <c r="G13" s="531"/>
      <c r="I13" s="585"/>
      <c r="J13" s="578"/>
      <c r="K13" s="586"/>
    </row>
    <row r="14" ht="23.95" spans="2:12">
      <c r="B14" s="588" t="s">
        <v>75</v>
      </c>
      <c r="C14" s="32"/>
      <c r="D14" s="33"/>
      <c r="E14" s="33"/>
      <c r="F14" s="34"/>
      <c r="G14" s="576">
        <f>FAHD!I64</f>
        <v>2135390.96</v>
      </c>
      <c r="I14" s="577">
        <f>FAHD!I66</f>
        <v>2160075.96</v>
      </c>
      <c r="J14" s="589"/>
      <c r="K14" s="579">
        <f t="shared" si="0"/>
        <v>-0.0114278388617408</v>
      </c>
    </row>
    <row r="15" ht="23.95" spans="2:12">
      <c r="I15" s="585"/>
      <c r="J15" s="580"/>
      <c r="K15" s="584"/>
    </row>
    <row r="16" ht="23.95" spans="2:12">
      <c r="B16" s="32" t="s">
        <v>76</v>
      </c>
      <c r="C16" s="33"/>
      <c r="D16" s="33"/>
      <c r="E16" s="33"/>
      <c r="F16" s="34"/>
      <c r="G16" s="576">
        <f>GII!H79</f>
        <v>1972303.3</v>
      </c>
      <c r="I16" s="577">
        <f>GII!H82</f>
        <v>2020799.05</v>
      </c>
      <c r="J16" s="578"/>
      <c r="K16" s="579">
        <f t="shared" si="0"/>
        <v>-0.0239983040372076</v>
      </c>
    </row>
    <row r="17" ht="23.95" spans="2:11">
      <c r="I17" s="590"/>
      <c r="K17" s="586"/>
    </row>
    <row r="18" ht="23.95" spans="2:11">
      <c r="B18" s="32" t="s">
        <v>77</v>
      </c>
      <c r="C18" s="33"/>
      <c r="D18" s="33"/>
      <c r="E18" s="33"/>
      <c r="F18" s="34"/>
      <c r="G18" s="576">
        <f>LAHCEN!I16</f>
        <v>158237.3</v>
      </c>
      <c r="I18" s="577">
        <f>LAHCEN!I19</f>
        <v>158237.3</v>
      </c>
      <c r="J18" s="591"/>
      <c r="K18" s="592">
        <f t="shared" si="0"/>
        <v>0</v>
      </c>
    </row>
    <row r="19" ht="23.95" spans="2:11">
      <c r="G19" s="4"/>
      <c r="I19" s="593"/>
      <c r="J19" s="594"/>
      <c r="K19" s="584"/>
    </row>
    <row r="20" ht="21" customHeight="1" spans="2:11">
      <c r="B20" s="595" t="s">
        <v>78</v>
      </c>
      <c r="C20" s="596"/>
      <c r="D20" s="596"/>
      <c r="E20" s="596"/>
      <c r="F20" s="597"/>
      <c r="G20" s="598">
        <f>RACHID!I54</f>
        <v>1508678.14</v>
      </c>
      <c r="I20" s="577">
        <f>RACHID!I57</f>
        <v>1479362.39</v>
      </c>
      <c r="J20" s="599"/>
      <c r="K20" s="583">
        <f t="shared" si="0"/>
        <v>0.0198164764753822</v>
      </c>
    </row>
    <row r="21" ht="23.95" spans="2:11">
      <c r="K21" s="586"/>
    </row>
    <row r="22" ht="22.5" customHeight="1" spans="2:11">
      <c r="B22" s="600" t="s">
        <v>79</v>
      </c>
      <c r="C22" s="601"/>
      <c r="D22" s="601"/>
      <c r="E22" s="602"/>
      <c r="F22" s="603"/>
      <c r="G22" s="598">
        <f>OUSSAMA!I12</f>
        <v>12474</v>
      </c>
      <c r="I22" s="598">
        <f>+OUSSAMA!I15</f>
        <v>12474</v>
      </c>
      <c r="K22" s="579">
        <f t="shared" si="0"/>
        <v>0</v>
      </c>
    </row>
    <row r="23" ht="18.35"/>
    <row r="24" ht="24.95" customHeight="1" spans="2:11">
      <c r="B24" s="604" t="s">
        <v>80</v>
      </c>
      <c r="C24" s="605"/>
      <c r="D24" s="605"/>
      <c r="E24" s="605"/>
      <c r="F24" s="606"/>
      <c r="G24" s="607">
        <f>SUM(G4:G23)</f>
        <v>26163575.21</v>
      </c>
      <c r="I24" s="608"/>
      <c r="K24" s="594"/>
    </row>
    <row r="25" ht="18.35" spans="2:11">
      <c r="B25" s="609"/>
    </row>
    <row r="26" ht="23.2" spans="2:11">
      <c r="B26" s="477" t="s">
        <v>81</v>
      </c>
      <c r="C26" s="478"/>
      <c r="D26" s="478"/>
      <c r="E26" s="478"/>
      <c r="F26" s="610">
        <v>26243849.64</v>
      </c>
      <c r="G26" s="611">
        <f>+($G$24-F26)/F26</f>
        <v>-0.00305879019660455</v>
      </c>
    </row>
    <row r="27" ht="23.2" spans="2:11">
      <c r="B27" s="612" t="s">
        <v>82</v>
      </c>
      <c r="C27" s="613"/>
      <c r="D27" s="613"/>
      <c r="E27" s="614"/>
      <c r="F27" s="615">
        <v>27355715.91</v>
      </c>
      <c r="G27" s="616">
        <f>+($G$24-F27)/F27</f>
        <v>-0.0435792177372409</v>
      </c>
    </row>
    <row r="28" ht="21" customHeight="1" spans="2:11">
      <c r="B28" s="617" t="s">
        <v>83</v>
      </c>
      <c r="C28" s="618"/>
      <c r="D28" s="618"/>
      <c r="E28" s="618"/>
      <c r="F28" s="619">
        <v>27899115.26</v>
      </c>
      <c r="G28" s="620">
        <f>+($G$24-F28)/F28</f>
        <v>-0.0622077092347192</v>
      </c>
    </row>
    <row r="34" spans="7:7">
      <c r="G34" s="147"/>
    </row>
  </sheetData>
  <mergeCells count="12">
    <mergeCell ref="B4:F4"/>
    <mergeCell ref="B6:F6"/>
    <mergeCell ref="B8:F8"/>
    <mergeCell ref="B10:F10"/>
    <mergeCell ref="B12:F12"/>
    <mergeCell ref="B16:F16"/>
    <mergeCell ref="B18:F18"/>
    <mergeCell ref="B20:F20"/>
    <mergeCell ref="B22:D22"/>
    <mergeCell ref="B25:E25"/>
    <mergeCell ref="B26:E26"/>
    <mergeCell ref="B27:E27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371"/>
  <sheetViews>
    <sheetView tabSelected="1" zoomScale="97" zoomScaleNormal="97" topLeftCell="A246" workbookViewId="0">
      <selection activeCell="I260" sqref="I260"/>
    </sheetView>
  </sheetViews>
  <sheetFormatPr defaultColWidth="11" defaultRowHeight="17.6"/>
  <cols>
    <col min="1" max="1" width="37.25" style="25" customWidth="1"/>
    <col min="2" max="2" width="5.625" style="21" customWidth="1"/>
    <col min="3" max="3" width="13" style="22" customWidth="1"/>
    <col min="4" max="4" width="3.125" style="21" customWidth="1"/>
    <col min="5" max="5" width="8.25" style="21" customWidth="1"/>
    <col min="6" max="6" width="13.5" style="23" customWidth="1"/>
    <col min="7" max="7" width="11.5" style="22" customWidth="1"/>
    <col min="8" max="8" width="23.625" style="494" customWidth="1"/>
    <col min="9" max="9" width="39.5" style="25" customWidth="1"/>
  </cols>
  <sheetData>
    <row r="2" ht="18.35"/>
    <row r="3" ht="21.15" spans="1:9">
      <c r="B3" s="495" t="s">
        <v>84</v>
      </c>
      <c r="C3" s="496"/>
      <c r="D3" s="496"/>
      <c r="E3" s="496"/>
      <c r="F3" s="497"/>
    </row>
    <row r="4" ht="18.35"/>
    <row r="5" spans="1:9">
      <c r="A5" s="169" t="s">
        <v>85</v>
      </c>
      <c r="B5" s="498" t="s">
        <v>86</v>
      </c>
      <c r="C5" s="171" t="s">
        <v>87</v>
      </c>
      <c r="D5" s="498" t="s">
        <v>88</v>
      </c>
      <c r="E5" s="498" t="s">
        <v>89</v>
      </c>
      <c r="F5" s="10" t="s">
        <v>90</v>
      </c>
      <c r="G5" s="171" t="s">
        <v>91</v>
      </c>
      <c r="H5" s="499" t="s">
        <v>92</v>
      </c>
      <c r="I5" s="175" t="s">
        <v>93</v>
      </c>
    </row>
    <row r="6" spans="1:9">
      <c r="A6" s="58" t="s">
        <v>94</v>
      </c>
      <c r="B6" s="228" t="s">
        <v>95</v>
      </c>
      <c r="C6" s="293">
        <v>40474</v>
      </c>
      <c r="D6" s="228" t="s">
        <v>96</v>
      </c>
      <c r="E6" s="228" t="s">
        <v>97</v>
      </c>
      <c r="F6" s="80">
        <v>7608</v>
      </c>
      <c r="G6" s="293">
        <v>40672</v>
      </c>
      <c r="H6" s="500">
        <v>19414</v>
      </c>
      <c r="I6" s="212" t="s">
        <v>98</v>
      </c>
    </row>
    <row r="7" spans="1:9">
      <c r="A7" s="223" t="s">
        <v>94</v>
      </c>
      <c r="B7" s="21" t="s">
        <v>95</v>
      </c>
      <c r="C7" s="22">
        <v>40467</v>
      </c>
      <c r="D7" s="21" t="s">
        <v>96</v>
      </c>
      <c r="E7" s="21" t="s">
        <v>97</v>
      </c>
      <c r="F7" s="23">
        <v>7609</v>
      </c>
      <c r="G7" s="22">
        <v>40701</v>
      </c>
      <c r="H7" s="494">
        <v>29414</v>
      </c>
      <c r="I7" s="214" t="s">
        <v>99</v>
      </c>
    </row>
    <row r="8" spans="1:9">
      <c r="A8" s="223" t="s">
        <v>94</v>
      </c>
      <c r="B8" s="21" t="s">
        <v>95</v>
      </c>
      <c r="C8" s="22">
        <v>40350</v>
      </c>
      <c r="D8" s="21" t="s">
        <v>96</v>
      </c>
      <c r="E8" s="21" t="s">
        <v>97</v>
      </c>
      <c r="F8" s="23">
        <v>7611</v>
      </c>
      <c r="G8" s="22">
        <v>40763</v>
      </c>
      <c r="H8" s="494">
        <v>29414</v>
      </c>
      <c r="I8" s="214" t="s">
        <v>99</v>
      </c>
    </row>
    <row r="9" spans="1:9">
      <c r="A9" s="223" t="s">
        <v>94</v>
      </c>
      <c r="B9" s="21" t="s">
        <v>95</v>
      </c>
      <c r="C9" s="22">
        <v>40350</v>
      </c>
      <c r="D9" s="21" t="s">
        <v>96</v>
      </c>
      <c r="E9" s="21" t="s">
        <v>97</v>
      </c>
      <c r="F9" s="23">
        <v>7622</v>
      </c>
      <c r="G9" s="22">
        <v>40793</v>
      </c>
      <c r="H9" s="494">
        <v>29414</v>
      </c>
      <c r="I9" s="214" t="s">
        <v>98</v>
      </c>
    </row>
    <row r="10" spans="1:9">
      <c r="A10" s="223" t="s">
        <v>94</v>
      </c>
      <c r="B10" s="21" t="s">
        <v>95</v>
      </c>
      <c r="C10" s="22">
        <v>40407</v>
      </c>
      <c r="D10" s="21" t="s">
        <v>96</v>
      </c>
      <c r="E10" s="21" t="s">
        <v>97</v>
      </c>
      <c r="F10" s="23">
        <v>7613</v>
      </c>
      <c r="G10" s="22">
        <v>40823</v>
      </c>
      <c r="H10" s="494">
        <v>29414</v>
      </c>
      <c r="I10" s="214" t="s">
        <v>98</v>
      </c>
    </row>
    <row r="11" spans="1:9">
      <c r="A11" s="223" t="s">
        <v>94</v>
      </c>
      <c r="B11" s="21" t="s">
        <v>95</v>
      </c>
      <c r="C11" s="22">
        <v>40343</v>
      </c>
      <c r="D11" s="21" t="s">
        <v>96</v>
      </c>
      <c r="E11" s="21" t="s">
        <v>97</v>
      </c>
      <c r="F11" s="23">
        <v>7614</v>
      </c>
      <c r="G11" s="22">
        <v>40854</v>
      </c>
      <c r="H11" s="494">
        <v>29414</v>
      </c>
      <c r="I11" s="214" t="s">
        <v>99</v>
      </c>
    </row>
    <row r="12" spans="1:9">
      <c r="A12" s="64" t="s">
        <v>94</v>
      </c>
      <c r="B12" s="229" t="s">
        <v>95</v>
      </c>
      <c r="C12" s="295">
        <v>40330</v>
      </c>
      <c r="D12" s="229" t="s">
        <v>96</v>
      </c>
      <c r="E12" s="229" t="s">
        <v>97</v>
      </c>
      <c r="F12" s="89">
        <v>7615</v>
      </c>
      <c r="G12" s="295">
        <v>40884</v>
      </c>
      <c r="H12" s="501">
        <v>29418.88</v>
      </c>
      <c r="I12" s="217" t="s">
        <v>100</v>
      </c>
    </row>
    <row r="13" spans="1:9">
      <c r="A13" s="19" t="s">
        <v>101</v>
      </c>
      <c r="H13" s="502">
        <f>SUM(H6:H12)</f>
        <v>195902.88</v>
      </c>
    </row>
    <row r="14" spans="1:9">
      <c r="A14" s="58" t="s">
        <v>102</v>
      </c>
      <c r="B14" s="228" t="s">
        <v>95</v>
      </c>
      <c r="C14" s="293">
        <v>40357</v>
      </c>
      <c r="D14" s="228" t="s">
        <v>96</v>
      </c>
      <c r="E14" s="228" t="s">
        <v>103</v>
      </c>
      <c r="F14" s="80">
        <v>8768</v>
      </c>
      <c r="G14" s="293">
        <v>40757</v>
      </c>
      <c r="H14" s="500">
        <v>8986.61</v>
      </c>
      <c r="I14" s="212" t="s">
        <v>98</v>
      </c>
    </row>
    <row r="15" spans="1:9">
      <c r="A15" s="223" t="s">
        <v>102</v>
      </c>
      <c r="B15" s="21" t="s">
        <v>95</v>
      </c>
      <c r="C15" s="22">
        <v>40438</v>
      </c>
      <c r="D15" s="21" t="s">
        <v>96</v>
      </c>
      <c r="E15" s="21" t="s">
        <v>103</v>
      </c>
      <c r="F15" s="23">
        <v>8769</v>
      </c>
      <c r="G15" s="22">
        <v>40788</v>
      </c>
      <c r="H15" s="494">
        <v>68986.5</v>
      </c>
      <c r="I15" s="214" t="s">
        <v>98</v>
      </c>
    </row>
    <row r="16" spans="1:9">
      <c r="A16" s="223" t="s">
        <v>102</v>
      </c>
      <c r="B16" s="21" t="s">
        <v>95</v>
      </c>
      <c r="C16" s="22">
        <v>40438</v>
      </c>
      <c r="D16" s="21" t="s">
        <v>96</v>
      </c>
      <c r="E16" s="21" t="s">
        <v>103</v>
      </c>
      <c r="F16" s="23">
        <v>8771</v>
      </c>
      <c r="G16" s="22">
        <v>40818</v>
      </c>
      <c r="H16" s="494">
        <v>68986.6</v>
      </c>
      <c r="I16" s="214" t="s">
        <v>98</v>
      </c>
    </row>
    <row r="17" spans="1:9">
      <c r="A17" s="223" t="s">
        <v>104</v>
      </c>
      <c r="B17" s="21" t="s">
        <v>95</v>
      </c>
      <c r="C17" s="22">
        <v>40309</v>
      </c>
      <c r="D17" s="21" t="s">
        <v>96</v>
      </c>
      <c r="E17" s="21" t="s">
        <v>103</v>
      </c>
      <c r="F17" s="23">
        <v>8772</v>
      </c>
      <c r="G17" s="22">
        <v>40849</v>
      </c>
      <c r="H17" s="494">
        <v>68986.71</v>
      </c>
      <c r="I17" s="214" t="s">
        <v>100</v>
      </c>
    </row>
    <row r="18" spans="1:9">
      <c r="A18" s="223" t="s">
        <v>105</v>
      </c>
      <c r="B18" s="21" t="s">
        <v>95</v>
      </c>
      <c r="C18" s="22">
        <v>40781</v>
      </c>
      <c r="D18" s="21" t="s">
        <v>96</v>
      </c>
      <c r="E18" s="21" t="s">
        <v>106</v>
      </c>
      <c r="F18" s="23">
        <v>9421</v>
      </c>
      <c r="G18" s="22">
        <v>40933</v>
      </c>
      <c r="H18" s="494">
        <v>12760.34</v>
      </c>
      <c r="I18" s="214" t="s">
        <v>98</v>
      </c>
    </row>
    <row r="19" spans="1:9">
      <c r="A19" s="223" t="s">
        <v>105</v>
      </c>
      <c r="B19" s="21" t="s">
        <v>95</v>
      </c>
      <c r="C19" s="22">
        <v>40781</v>
      </c>
      <c r="D19" s="21" t="s">
        <v>96</v>
      </c>
      <c r="E19" s="21" t="s">
        <v>106</v>
      </c>
      <c r="F19" s="23" t="s">
        <v>107</v>
      </c>
      <c r="G19" s="22">
        <v>40935</v>
      </c>
      <c r="H19" s="494">
        <v>25000</v>
      </c>
      <c r="I19" s="214" t="s">
        <v>98</v>
      </c>
    </row>
    <row r="20" spans="1:9">
      <c r="A20" s="223" t="s">
        <v>105</v>
      </c>
      <c r="B20" s="21" t="s">
        <v>95</v>
      </c>
      <c r="C20" s="22">
        <v>40781</v>
      </c>
      <c r="D20" s="21" t="s">
        <v>96</v>
      </c>
      <c r="E20" s="21" t="s">
        <v>106</v>
      </c>
      <c r="F20" s="23" t="s">
        <v>108</v>
      </c>
      <c r="G20" s="22">
        <v>40933</v>
      </c>
      <c r="H20" s="494">
        <v>250000</v>
      </c>
      <c r="I20" s="214" t="s">
        <v>98</v>
      </c>
    </row>
    <row r="21" spans="1:9">
      <c r="A21" s="223" t="s">
        <v>105</v>
      </c>
      <c r="B21" s="21" t="s">
        <v>95</v>
      </c>
      <c r="C21" s="22">
        <v>40781</v>
      </c>
      <c r="D21" s="21" t="s">
        <v>96</v>
      </c>
      <c r="E21" s="21" t="s">
        <v>106</v>
      </c>
      <c r="F21" s="23" t="s">
        <v>109</v>
      </c>
      <c r="G21" s="22">
        <v>40933</v>
      </c>
      <c r="H21" s="494">
        <v>25000</v>
      </c>
      <c r="I21" s="214" t="s">
        <v>98</v>
      </c>
    </row>
    <row r="22" spans="1:9">
      <c r="A22" s="64" t="s">
        <v>110</v>
      </c>
      <c r="B22" s="229" t="s">
        <v>95</v>
      </c>
      <c r="C22" s="295">
        <v>40781</v>
      </c>
      <c r="D22" s="229" t="s">
        <v>96</v>
      </c>
      <c r="E22" s="229" t="s">
        <v>106</v>
      </c>
      <c r="F22" s="89" t="s">
        <v>111</v>
      </c>
      <c r="G22" s="295">
        <v>40933</v>
      </c>
      <c r="H22" s="501">
        <v>33630.5</v>
      </c>
      <c r="I22" s="217" t="s">
        <v>100</v>
      </c>
    </row>
    <row r="23" spans="1:9">
      <c r="A23" s="19" t="s">
        <v>112</v>
      </c>
      <c r="H23" s="502">
        <f>SUM(H14:H22)</f>
        <v>562337.26</v>
      </c>
    </row>
    <row r="24" spans="1:9">
      <c r="A24" s="219" t="s">
        <v>113</v>
      </c>
      <c r="B24" s="228" t="s">
        <v>95</v>
      </c>
      <c r="C24" s="293">
        <v>41243</v>
      </c>
      <c r="D24" s="228" t="s">
        <v>114</v>
      </c>
      <c r="E24" s="228" t="s">
        <v>115</v>
      </c>
      <c r="F24" s="80" t="s">
        <v>116</v>
      </c>
      <c r="G24" s="293">
        <v>41250</v>
      </c>
      <c r="H24" s="503">
        <v>24382.26</v>
      </c>
      <c r="I24" s="212" t="s">
        <v>117</v>
      </c>
    </row>
    <row r="25" spans="1:9">
      <c r="A25" s="207" t="s">
        <v>118</v>
      </c>
      <c r="B25" s="149" t="s">
        <v>95</v>
      </c>
      <c r="C25" s="150">
        <v>41262</v>
      </c>
      <c r="D25" s="149" t="s">
        <v>96</v>
      </c>
      <c r="E25" s="149" t="s">
        <v>119</v>
      </c>
      <c r="F25" s="16" t="s">
        <v>120</v>
      </c>
      <c r="G25" s="150">
        <v>41389</v>
      </c>
      <c r="H25" s="208">
        <v>49336.63</v>
      </c>
      <c r="I25" s="152" t="s">
        <v>121</v>
      </c>
    </row>
    <row r="26" spans="1:9">
      <c r="A26" s="58" t="s">
        <v>122</v>
      </c>
      <c r="B26" s="228" t="s">
        <v>95</v>
      </c>
      <c r="C26" s="293">
        <v>41086</v>
      </c>
      <c r="D26" s="228" t="s">
        <v>114</v>
      </c>
      <c r="E26" s="228" t="s">
        <v>115</v>
      </c>
      <c r="F26" s="80" t="s">
        <v>123</v>
      </c>
      <c r="G26" s="293">
        <v>41283</v>
      </c>
      <c r="H26" s="500">
        <v>73579.33</v>
      </c>
      <c r="I26" s="212" t="s">
        <v>124</v>
      </c>
    </row>
    <row r="27" spans="1:9">
      <c r="A27" s="223" t="s">
        <v>125</v>
      </c>
      <c r="B27" s="21" t="s">
        <v>95</v>
      </c>
      <c r="C27" s="22">
        <v>41086</v>
      </c>
      <c r="D27" s="21" t="s">
        <v>114</v>
      </c>
      <c r="E27" s="21" t="s">
        <v>115</v>
      </c>
      <c r="F27" s="23" t="s">
        <v>126</v>
      </c>
      <c r="G27" s="22">
        <v>41324</v>
      </c>
      <c r="H27" s="494">
        <v>25000</v>
      </c>
      <c r="I27" s="214" t="s">
        <v>98</v>
      </c>
    </row>
    <row r="28" spans="1:9">
      <c r="A28" s="223" t="s">
        <v>125</v>
      </c>
      <c r="B28" s="21" t="s">
        <v>95</v>
      </c>
      <c r="C28" s="22">
        <v>41086</v>
      </c>
      <c r="D28" s="21" t="s">
        <v>114</v>
      </c>
      <c r="E28" s="21" t="s">
        <v>115</v>
      </c>
      <c r="F28" s="23" t="s">
        <v>127</v>
      </c>
      <c r="G28" s="22">
        <v>41330</v>
      </c>
      <c r="H28" s="494">
        <v>25000</v>
      </c>
      <c r="I28" s="214" t="s">
        <v>98</v>
      </c>
    </row>
    <row r="29" spans="1:9">
      <c r="A29" s="223" t="s">
        <v>125</v>
      </c>
      <c r="B29" s="21" t="s">
        <v>95</v>
      </c>
      <c r="C29" s="22">
        <v>41174</v>
      </c>
      <c r="D29" s="21" t="s">
        <v>114</v>
      </c>
      <c r="E29" s="21" t="s">
        <v>115</v>
      </c>
      <c r="F29" s="23" t="s">
        <v>128</v>
      </c>
      <c r="G29" s="22">
        <v>41359</v>
      </c>
      <c r="H29" s="494">
        <v>25000</v>
      </c>
      <c r="I29" s="214" t="s">
        <v>98</v>
      </c>
    </row>
    <row r="30" spans="1:9">
      <c r="A30" s="215" t="s">
        <v>125</v>
      </c>
      <c r="B30" s="229" t="s">
        <v>95</v>
      </c>
      <c r="C30" s="295">
        <v>41218</v>
      </c>
      <c r="D30" s="229" t="s">
        <v>114</v>
      </c>
      <c r="E30" s="229" t="s">
        <v>115</v>
      </c>
      <c r="F30" s="89" t="s">
        <v>123</v>
      </c>
      <c r="G30" s="295">
        <v>41283</v>
      </c>
      <c r="H30" s="501">
        <v>25886.87</v>
      </c>
      <c r="I30" s="217" t="s">
        <v>124</v>
      </c>
    </row>
    <row r="31" spans="1:9">
      <c r="A31" s="19" t="s">
        <v>129</v>
      </c>
      <c r="H31" s="502">
        <f>SUM(H26:H30)</f>
        <v>174466.2</v>
      </c>
    </row>
    <row r="32" spans="1:9">
      <c r="A32" s="58" t="s">
        <v>130</v>
      </c>
      <c r="B32" s="228" t="s">
        <v>95</v>
      </c>
      <c r="C32" s="293">
        <v>41048</v>
      </c>
      <c r="D32" s="228" t="s">
        <v>114</v>
      </c>
      <c r="E32" s="228" t="s">
        <v>103</v>
      </c>
      <c r="F32" s="80" t="s">
        <v>131</v>
      </c>
      <c r="G32" s="293">
        <v>41353</v>
      </c>
      <c r="H32" s="383">
        <v>7818</v>
      </c>
      <c r="I32" s="212" t="s">
        <v>132</v>
      </c>
    </row>
    <row r="33" spans="1:9">
      <c r="A33" s="223" t="s">
        <v>130</v>
      </c>
      <c r="B33" s="21" t="s">
        <v>95</v>
      </c>
      <c r="C33" s="22">
        <v>41106</v>
      </c>
      <c r="D33" s="21" t="s">
        <v>114</v>
      </c>
      <c r="E33" s="21" t="s">
        <v>103</v>
      </c>
      <c r="F33" s="23" t="s">
        <v>133</v>
      </c>
      <c r="G33" s="22">
        <v>41384</v>
      </c>
      <c r="H33" s="386">
        <v>10818</v>
      </c>
      <c r="I33" s="214" t="s">
        <v>98</v>
      </c>
    </row>
    <row r="34" spans="1:9">
      <c r="A34" s="223" t="s">
        <v>130</v>
      </c>
      <c r="B34" s="21" t="s">
        <v>95</v>
      </c>
      <c r="C34" s="22">
        <v>41106</v>
      </c>
      <c r="D34" s="21" t="s">
        <v>114</v>
      </c>
      <c r="E34" s="21" t="s">
        <v>103</v>
      </c>
      <c r="F34" s="23" t="s">
        <v>134</v>
      </c>
      <c r="G34" s="22">
        <v>41414</v>
      </c>
      <c r="H34" s="386">
        <v>10818</v>
      </c>
      <c r="I34" s="214" t="s">
        <v>98</v>
      </c>
    </row>
    <row r="35" spans="1:9">
      <c r="A35" s="223" t="s">
        <v>130</v>
      </c>
      <c r="B35" s="21" t="s">
        <v>95</v>
      </c>
      <c r="C35" s="22">
        <v>41106</v>
      </c>
      <c r="D35" s="21" t="s">
        <v>114</v>
      </c>
      <c r="E35" s="21" t="s">
        <v>103</v>
      </c>
      <c r="F35" s="23" t="s">
        <v>135</v>
      </c>
      <c r="G35" s="22">
        <v>41445</v>
      </c>
      <c r="H35" s="386">
        <v>10818</v>
      </c>
      <c r="I35" s="214" t="s">
        <v>98</v>
      </c>
    </row>
    <row r="36" spans="1:9">
      <c r="A36" s="223" t="s">
        <v>130</v>
      </c>
      <c r="B36" s="21" t="s">
        <v>95</v>
      </c>
      <c r="C36" s="22">
        <v>41106</v>
      </c>
      <c r="D36" s="21" t="s">
        <v>114</v>
      </c>
      <c r="E36" s="21" t="s">
        <v>103</v>
      </c>
      <c r="F36" s="23" t="s">
        <v>136</v>
      </c>
      <c r="G36" s="22">
        <v>41475</v>
      </c>
      <c r="H36" s="386">
        <v>10818</v>
      </c>
      <c r="I36" s="214" t="s">
        <v>98</v>
      </c>
    </row>
    <row r="37" spans="1:9">
      <c r="A37" s="223" t="s">
        <v>130</v>
      </c>
      <c r="B37" s="21" t="s">
        <v>95</v>
      </c>
      <c r="C37" s="22">
        <v>41162</v>
      </c>
      <c r="D37" s="21" t="s">
        <v>114</v>
      </c>
      <c r="E37" s="21" t="s">
        <v>103</v>
      </c>
      <c r="F37" s="23" t="s">
        <v>137</v>
      </c>
      <c r="G37" s="22">
        <v>41506</v>
      </c>
      <c r="H37" s="386">
        <v>10818</v>
      </c>
      <c r="I37" s="214" t="s">
        <v>98</v>
      </c>
    </row>
    <row r="38" spans="1:9">
      <c r="A38" s="223" t="s">
        <v>130</v>
      </c>
      <c r="B38" s="21" t="s">
        <v>95</v>
      </c>
      <c r="C38" s="22">
        <v>41162</v>
      </c>
      <c r="D38" s="21" t="s">
        <v>114</v>
      </c>
      <c r="E38" s="21" t="s">
        <v>103</v>
      </c>
      <c r="F38" s="23" t="s">
        <v>138</v>
      </c>
      <c r="G38" s="22">
        <v>41537</v>
      </c>
      <c r="H38" s="386">
        <v>10818</v>
      </c>
      <c r="I38" s="214" t="s">
        <v>98</v>
      </c>
    </row>
    <row r="39" spans="1:9">
      <c r="A39" s="223" t="s">
        <v>130</v>
      </c>
      <c r="B39" s="21" t="s">
        <v>95</v>
      </c>
      <c r="C39" s="22">
        <v>41162</v>
      </c>
      <c r="D39" s="21" t="s">
        <v>114</v>
      </c>
      <c r="E39" s="21" t="s">
        <v>103</v>
      </c>
      <c r="F39" s="23" t="s">
        <v>139</v>
      </c>
      <c r="G39" s="22">
        <v>41598</v>
      </c>
      <c r="H39" s="386">
        <v>10818</v>
      </c>
      <c r="I39" s="214" t="s">
        <v>98</v>
      </c>
    </row>
    <row r="40" spans="1:9">
      <c r="A40" s="64" t="s">
        <v>130</v>
      </c>
      <c r="B40" s="229" t="s">
        <v>95</v>
      </c>
      <c r="C40" s="295">
        <v>41162</v>
      </c>
      <c r="D40" s="229" t="s">
        <v>114</v>
      </c>
      <c r="E40" s="229" t="s">
        <v>103</v>
      </c>
      <c r="F40" s="89" t="s">
        <v>140</v>
      </c>
      <c r="G40" s="295">
        <v>41598</v>
      </c>
      <c r="H40" s="389">
        <v>10818</v>
      </c>
      <c r="I40" s="217" t="s">
        <v>100</v>
      </c>
    </row>
    <row r="41" spans="1:9">
      <c r="A41" s="19" t="s">
        <v>141</v>
      </c>
      <c r="H41" s="502">
        <f>SUM(H32:H40)</f>
        <v>94362</v>
      </c>
    </row>
    <row r="42" spans="1:9">
      <c r="A42" s="58" t="s">
        <v>142</v>
      </c>
      <c r="B42" s="228" t="s">
        <v>95</v>
      </c>
      <c r="C42" s="293">
        <v>41191</v>
      </c>
      <c r="D42" s="228" t="s">
        <v>96</v>
      </c>
      <c r="E42" s="228"/>
      <c r="F42" s="61" t="s">
        <v>143</v>
      </c>
      <c r="G42" s="60">
        <v>41335</v>
      </c>
      <c r="H42" s="383">
        <v>695.95</v>
      </c>
      <c r="I42" s="504" t="s">
        <v>144</v>
      </c>
    </row>
    <row r="43" spans="1:9">
      <c r="A43" s="223" t="s">
        <v>142</v>
      </c>
      <c r="B43" s="21" t="s">
        <v>95</v>
      </c>
      <c r="C43" s="22">
        <v>41052</v>
      </c>
      <c r="D43" s="21" t="s">
        <v>96</v>
      </c>
      <c r="F43" s="109" t="s">
        <v>145</v>
      </c>
      <c r="G43" s="353">
        <v>41341</v>
      </c>
      <c r="H43" s="386">
        <v>13616.04</v>
      </c>
      <c r="I43" s="505" t="s">
        <v>146</v>
      </c>
    </row>
    <row r="44" spans="1:9">
      <c r="A44" s="223" t="s">
        <v>142</v>
      </c>
      <c r="B44" s="21" t="s">
        <v>95</v>
      </c>
      <c r="C44" s="22">
        <v>41052</v>
      </c>
      <c r="D44" s="21" t="s">
        <v>96</v>
      </c>
      <c r="F44" s="109" t="s">
        <v>147</v>
      </c>
      <c r="G44" s="353">
        <v>41348</v>
      </c>
      <c r="H44" s="386">
        <v>20000</v>
      </c>
      <c r="I44" s="505" t="s">
        <v>98</v>
      </c>
    </row>
    <row r="45" spans="1:9">
      <c r="A45" s="223" t="s">
        <v>142</v>
      </c>
      <c r="B45" s="21" t="s">
        <v>95</v>
      </c>
      <c r="C45" s="22">
        <v>41191</v>
      </c>
      <c r="D45" s="21" t="s">
        <v>96</v>
      </c>
      <c r="F45" s="109" t="s">
        <v>148</v>
      </c>
      <c r="G45" s="353">
        <v>41351</v>
      </c>
      <c r="H45" s="386">
        <v>15347.85</v>
      </c>
      <c r="I45" s="505" t="s">
        <v>98</v>
      </c>
    </row>
    <row r="46" spans="1:9">
      <c r="A46" s="223" t="s">
        <v>142</v>
      </c>
      <c r="B46" s="21" t="s">
        <v>95</v>
      </c>
      <c r="C46" s="22">
        <v>41052</v>
      </c>
      <c r="D46" s="21" t="s">
        <v>96</v>
      </c>
      <c r="F46" s="109" t="s">
        <v>149</v>
      </c>
      <c r="G46" s="353">
        <v>41355</v>
      </c>
      <c r="H46" s="386">
        <v>20000</v>
      </c>
      <c r="I46" s="505" t="s">
        <v>98</v>
      </c>
    </row>
    <row r="47" spans="1:9">
      <c r="A47" s="223" t="s">
        <v>142</v>
      </c>
      <c r="B47" s="21" t="s">
        <v>95</v>
      </c>
      <c r="C47" s="22">
        <v>41191</v>
      </c>
      <c r="D47" s="21" t="s">
        <v>96</v>
      </c>
      <c r="F47" s="109" t="s">
        <v>150</v>
      </c>
      <c r="G47" s="353">
        <v>41358</v>
      </c>
      <c r="H47" s="386">
        <v>15347.85</v>
      </c>
      <c r="I47" s="505" t="s">
        <v>98</v>
      </c>
    </row>
    <row r="48" spans="1:9">
      <c r="A48" s="223" t="s">
        <v>151</v>
      </c>
      <c r="B48" s="21" t="s">
        <v>95</v>
      </c>
      <c r="C48" s="22">
        <v>41052</v>
      </c>
      <c r="D48" s="21" t="s">
        <v>96</v>
      </c>
      <c r="F48" s="109" t="s">
        <v>152</v>
      </c>
      <c r="G48" s="353">
        <v>41362</v>
      </c>
      <c r="H48" s="386">
        <v>20000</v>
      </c>
      <c r="I48" s="505" t="s">
        <v>153</v>
      </c>
    </row>
    <row r="49" spans="1:9">
      <c r="A49" s="223" t="s">
        <v>154</v>
      </c>
      <c r="B49" s="21" t="s">
        <v>95</v>
      </c>
      <c r="C49" s="22">
        <v>41092</v>
      </c>
      <c r="D49" s="21" t="s">
        <v>114</v>
      </c>
      <c r="E49" s="21" t="s">
        <v>103</v>
      </c>
      <c r="F49" s="109" t="s">
        <v>155</v>
      </c>
      <c r="G49" s="22">
        <v>41457</v>
      </c>
      <c r="H49" s="386">
        <v>229870</v>
      </c>
      <c r="I49" s="505" t="s">
        <v>156</v>
      </c>
    </row>
    <row r="50" spans="1:9">
      <c r="A50" s="64" t="s">
        <v>142</v>
      </c>
      <c r="B50" s="229" t="s">
        <v>95</v>
      </c>
      <c r="C50" s="295">
        <v>41278</v>
      </c>
      <c r="D50" s="229" t="s">
        <v>114</v>
      </c>
      <c r="E50" s="229" t="s">
        <v>103</v>
      </c>
      <c r="F50" s="67" t="s">
        <v>157</v>
      </c>
      <c r="G50" s="295">
        <v>42927</v>
      </c>
      <c r="H50" s="389">
        <v>213904.13</v>
      </c>
      <c r="I50" s="506" t="s">
        <v>156</v>
      </c>
    </row>
    <row r="51" spans="1:9">
      <c r="A51" s="19" t="s">
        <v>158</v>
      </c>
      <c r="F51" s="109"/>
      <c r="H51" s="502">
        <f>SUM(H42:H50)</f>
        <v>548781.82</v>
      </c>
      <c r="I51" s="109"/>
    </row>
    <row r="52" spans="1:9">
      <c r="A52" s="58" t="s">
        <v>159</v>
      </c>
      <c r="B52" s="228" t="s">
        <v>95</v>
      </c>
      <c r="C52" s="293">
        <v>41452</v>
      </c>
      <c r="D52" s="228" t="s">
        <v>114</v>
      </c>
      <c r="E52" s="228" t="s">
        <v>103</v>
      </c>
      <c r="F52" s="80" t="s">
        <v>160</v>
      </c>
      <c r="G52" s="293">
        <v>42160</v>
      </c>
      <c r="H52" s="500">
        <v>107176.38</v>
      </c>
      <c r="I52" s="212" t="s">
        <v>100</v>
      </c>
    </row>
    <row r="53" spans="1:9">
      <c r="A53" s="64" t="s">
        <v>159</v>
      </c>
      <c r="B53" s="229" t="s">
        <v>95</v>
      </c>
      <c r="C53" s="295">
        <v>41639</v>
      </c>
      <c r="D53" s="229" t="s">
        <v>114</v>
      </c>
      <c r="E53" s="229" t="s">
        <v>103</v>
      </c>
      <c r="F53" s="89" t="s">
        <v>161</v>
      </c>
      <c r="G53" s="295">
        <v>41324</v>
      </c>
      <c r="H53" s="501">
        <v>15842.46</v>
      </c>
      <c r="I53" s="217" t="s">
        <v>153</v>
      </c>
    </row>
    <row r="54" spans="1:9">
      <c r="A54" s="19" t="s">
        <v>162</v>
      </c>
      <c r="H54" s="502">
        <f>SUM(H52:H53)</f>
        <v>123018.84</v>
      </c>
    </row>
    <row r="55" spans="1:9">
      <c r="A55" s="207" t="s">
        <v>163</v>
      </c>
      <c r="B55" s="149" t="s">
        <v>95</v>
      </c>
      <c r="C55" s="150">
        <v>41342</v>
      </c>
      <c r="D55" s="149" t="s">
        <v>114</v>
      </c>
      <c r="E55" s="149" t="s">
        <v>119</v>
      </c>
      <c r="F55" s="16" t="s">
        <v>164</v>
      </c>
      <c r="G55" s="150">
        <v>41369</v>
      </c>
      <c r="H55" s="208">
        <v>3900</v>
      </c>
      <c r="I55" s="152" t="s">
        <v>165</v>
      </c>
    </row>
    <row r="56" spans="1:9">
      <c r="A56" s="207" t="s">
        <v>166</v>
      </c>
      <c r="B56" s="149" t="s">
        <v>95</v>
      </c>
      <c r="C56" s="150" t="s">
        <v>167</v>
      </c>
      <c r="D56" s="149" t="s">
        <v>114</v>
      </c>
      <c r="E56" s="149" t="s">
        <v>115</v>
      </c>
      <c r="F56" s="16" t="s">
        <v>168</v>
      </c>
      <c r="G56" s="150">
        <v>41789</v>
      </c>
      <c r="H56" s="208">
        <v>7390.47</v>
      </c>
      <c r="I56" s="152" t="s">
        <v>169</v>
      </c>
    </row>
    <row r="57" spans="1:9">
      <c r="A57" s="210" t="s">
        <v>170</v>
      </c>
      <c r="B57" s="228" t="s">
        <v>95</v>
      </c>
      <c r="C57" s="293">
        <v>41440</v>
      </c>
      <c r="D57" s="228" t="s">
        <v>114</v>
      </c>
      <c r="E57" s="228" t="s">
        <v>106</v>
      </c>
      <c r="F57" s="80" t="s">
        <v>171</v>
      </c>
      <c r="G57" s="293">
        <v>42037</v>
      </c>
      <c r="H57" s="500">
        <v>18521.42</v>
      </c>
      <c r="I57" s="212" t="s">
        <v>172</v>
      </c>
    </row>
    <row r="58" spans="1:9">
      <c r="A58" s="215" t="s">
        <v>170</v>
      </c>
      <c r="B58" s="229" t="s">
        <v>95</v>
      </c>
      <c r="C58" s="295">
        <v>41440</v>
      </c>
      <c r="D58" s="229" t="s">
        <v>114</v>
      </c>
      <c r="E58" s="229" t="s">
        <v>106</v>
      </c>
      <c r="F58" s="89" t="s">
        <v>173</v>
      </c>
      <c r="G58" s="295">
        <v>42037</v>
      </c>
      <c r="H58" s="501">
        <v>30000</v>
      </c>
      <c r="I58" s="217" t="s">
        <v>174</v>
      </c>
    </row>
    <row r="59" spans="1:9">
      <c r="A59" s="19" t="s">
        <v>175</v>
      </c>
      <c r="H59" s="502">
        <f>SUM(H57:H58)</f>
        <v>48521.42</v>
      </c>
    </row>
    <row r="60" spans="1:9">
      <c r="A60" s="210" t="s">
        <v>176</v>
      </c>
      <c r="B60" s="228" t="s">
        <v>95</v>
      </c>
      <c r="C60" s="293">
        <v>41813</v>
      </c>
      <c r="D60" s="228" t="s">
        <v>96</v>
      </c>
      <c r="E60" s="228" t="s">
        <v>106</v>
      </c>
      <c r="F60" s="80" t="s">
        <v>177</v>
      </c>
      <c r="G60" s="293">
        <v>42051</v>
      </c>
      <c r="H60" s="500">
        <v>130000</v>
      </c>
      <c r="I60" s="212" t="s">
        <v>98</v>
      </c>
    </row>
    <row r="61" spans="1:9">
      <c r="A61" s="215" t="s">
        <v>176</v>
      </c>
      <c r="B61" s="229" t="s">
        <v>95</v>
      </c>
      <c r="C61" s="295">
        <v>41813</v>
      </c>
      <c r="D61" s="229" t="s">
        <v>96</v>
      </c>
      <c r="E61" s="229" t="s">
        <v>106</v>
      </c>
      <c r="F61" s="89" t="s">
        <v>178</v>
      </c>
      <c r="G61" s="295">
        <v>42051</v>
      </c>
      <c r="H61" s="501">
        <v>17381.25</v>
      </c>
      <c r="I61" s="217" t="s">
        <v>179</v>
      </c>
    </row>
    <row r="62" spans="1:9">
      <c r="A62" s="19" t="s">
        <v>180</v>
      </c>
      <c r="H62" s="502">
        <f>SUM(H60:H61)</f>
        <v>147381.25</v>
      </c>
    </row>
    <row r="63" spans="1:9">
      <c r="A63" s="210" t="s">
        <v>181</v>
      </c>
      <c r="B63" s="228" t="s">
        <v>95</v>
      </c>
      <c r="C63" s="293">
        <v>42181</v>
      </c>
      <c r="D63" s="228" t="s">
        <v>114</v>
      </c>
      <c r="E63" s="228" t="s">
        <v>119</v>
      </c>
      <c r="F63" s="80" t="s">
        <v>182</v>
      </c>
      <c r="G63" s="293">
        <v>42217</v>
      </c>
      <c r="H63" s="500">
        <v>167040</v>
      </c>
      <c r="I63" s="212" t="s">
        <v>183</v>
      </c>
    </row>
    <row r="64" spans="1:9">
      <c r="A64" s="215" t="s">
        <v>184</v>
      </c>
      <c r="B64" s="229" t="s">
        <v>95</v>
      </c>
      <c r="C64" s="295">
        <v>42208</v>
      </c>
      <c r="D64" s="229" t="s">
        <v>114</v>
      </c>
      <c r="E64" s="229" t="s">
        <v>185</v>
      </c>
      <c r="F64" s="89" t="s">
        <v>186</v>
      </c>
      <c r="G64" s="295">
        <v>43342</v>
      </c>
      <c r="H64" s="501">
        <v>81400</v>
      </c>
      <c r="I64" s="217" t="s">
        <v>153</v>
      </c>
    </row>
    <row r="65" spans="1:11">
      <c r="A65" s="19" t="s">
        <v>187</v>
      </c>
      <c r="H65" s="502">
        <f>SUM(H63:H64)</f>
        <v>248440</v>
      </c>
    </row>
    <row r="66" spans="1:11">
      <c r="A66" s="207" t="s">
        <v>188</v>
      </c>
      <c r="B66" s="149" t="s">
        <v>95</v>
      </c>
      <c r="C66" s="150">
        <v>41977</v>
      </c>
      <c r="D66" s="149" t="s">
        <v>114</v>
      </c>
      <c r="E66" s="149" t="s">
        <v>115</v>
      </c>
      <c r="F66" s="16" t="s">
        <v>189</v>
      </c>
      <c r="G66" s="150">
        <v>42795</v>
      </c>
      <c r="H66" s="208">
        <v>13918.32</v>
      </c>
      <c r="I66" s="152" t="s">
        <v>190</v>
      </c>
    </row>
    <row r="67" spans="1:11">
      <c r="A67" s="210" t="s">
        <v>191</v>
      </c>
      <c r="B67" s="228" t="s">
        <v>95</v>
      </c>
      <c r="C67" s="293">
        <v>42501</v>
      </c>
      <c r="D67" s="228" t="s">
        <v>114</v>
      </c>
      <c r="E67" s="228" t="s">
        <v>192</v>
      </c>
      <c r="F67" s="80" t="s">
        <v>193</v>
      </c>
      <c r="G67" s="293">
        <v>42566</v>
      </c>
      <c r="H67" s="500">
        <v>110842</v>
      </c>
      <c r="I67" s="212" t="s">
        <v>194</v>
      </c>
    </row>
    <row r="68" spans="1:11">
      <c r="A68" s="213" t="s">
        <v>191</v>
      </c>
      <c r="B68" s="21" t="s">
        <v>95</v>
      </c>
      <c r="C68" s="22">
        <v>42538</v>
      </c>
      <c r="D68" s="21" t="s">
        <v>114</v>
      </c>
      <c r="E68" s="21" t="s">
        <v>192</v>
      </c>
      <c r="F68" s="23" t="s">
        <v>195</v>
      </c>
      <c r="G68" s="22">
        <v>42579</v>
      </c>
      <c r="H68" s="494">
        <v>100000</v>
      </c>
      <c r="I68" s="214" t="s">
        <v>153</v>
      </c>
    </row>
    <row r="69" spans="1:11">
      <c r="A69" s="215" t="s">
        <v>191</v>
      </c>
      <c r="B69" s="229" t="s">
        <v>95</v>
      </c>
      <c r="C69" s="295">
        <v>42538</v>
      </c>
      <c r="D69" s="229" t="s">
        <v>114</v>
      </c>
      <c r="E69" s="229" t="s">
        <v>192</v>
      </c>
      <c r="F69" s="89" t="s">
        <v>196</v>
      </c>
      <c r="G69" s="295">
        <v>42579</v>
      </c>
      <c r="H69" s="501">
        <v>103389</v>
      </c>
      <c r="I69" s="217" t="s">
        <v>153</v>
      </c>
    </row>
    <row r="70" spans="1:11">
      <c r="A70" s="19" t="s">
        <v>197</v>
      </c>
      <c r="H70" s="502">
        <f>SUM(H67:H69)</f>
        <v>314231</v>
      </c>
    </row>
    <row r="71" spans="1:11">
      <c r="A71" s="58" t="s">
        <v>198</v>
      </c>
      <c r="B71" s="228" t="s">
        <v>95</v>
      </c>
      <c r="C71" s="293">
        <v>42927</v>
      </c>
      <c r="D71" s="228" t="s">
        <v>114</v>
      </c>
      <c r="E71" s="228" t="s">
        <v>185</v>
      </c>
      <c r="F71" s="61" t="s">
        <v>199</v>
      </c>
      <c r="G71" s="293">
        <v>43152</v>
      </c>
      <c r="H71" s="383">
        <v>76196.1</v>
      </c>
      <c r="I71" s="212" t="s">
        <v>200</v>
      </c>
    </row>
    <row r="72" spans="1:11">
      <c r="A72" s="223" t="s">
        <v>198</v>
      </c>
      <c r="B72" s="21" t="s">
        <v>95</v>
      </c>
      <c r="C72" s="22">
        <v>42927</v>
      </c>
      <c r="D72" s="21" t="s">
        <v>114</v>
      </c>
      <c r="E72" s="21" t="s">
        <v>185</v>
      </c>
      <c r="F72" s="109" t="s">
        <v>201</v>
      </c>
      <c r="G72" s="22">
        <v>43199</v>
      </c>
      <c r="H72" s="386">
        <v>70219.23</v>
      </c>
      <c r="I72" s="214" t="s">
        <v>200</v>
      </c>
    </row>
    <row r="73" spans="1:11">
      <c r="A73" s="64" t="s">
        <v>198</v>
      </c>
      <c r="B73" s="229" t="s">
        <v>95</v>
      </c>
      <c r="C73" s="295">
        <v>42959</v>
      </c>
      <c r="D73" s="229" t="s">
        <v>114</v>
      </c>
      <c r="E73" s="229" t="s">
        <v>185</v>
      </c>
      <c r="F73" s="67" t="s">
        <v>202</v>
      </c>
      <c r="G73" s="295">
        <v>43178</v>
      </c>
      <c r="H73" s="389">
        <v>73035.87</v>
      </c>
      <c r="I73" s="217" t="s">
        <v>200</v>
      </c>
    </row>
    <row r="74" spans="1:11">
      <c r="A74" s="19" t="s">
        <v>203</v>
      </c>
      <c r="F74" s="109"/>
      <c r="H74" s="502">
        <f>SUM(H71:H73)</f>
        <v>219451.2</v>
      </c>
    </row>
    <row r="75" spans="1:11">
      <c r="A75" s="207" t="s">
        <v>204</v>
      </c>
      <c r="B75" s="149" t="s">
        <v>95</v>
      </c>
      <c r="C75" s="150">
        <v>43083</v>
      </c>
      <c r="D75" s="149" t="s">
        <v>96</v>
      </c>
      <c r="E75" s="149" t="s">
        <v>103</v>
      </c>
      <c r="F75" s="16" t="s">
        <v>205</v>
      </c>
      <c r="G75" s="150">
        <v>43311</v>
      </c>
      <c r="H75" s="208">
        <v>2748</v>
      </c>
      <c r="I75" s="152" t="s">
        <v>206</v>
      </c>
    </row>
    <row r="76" spans="1:11">
      <c r="A76" s="58" t="s">
        <v>207</v>
      </c>
      <c r="B76" s="228" t="s">
        <v>95</v>
      </c>
      <c r="C76" s="293">
        <v>43257</v>
      </c>
      <c r="D76" s="228" t="s">
        <v>114</v>
      </c>
      <c r="E76" s="228" t="s">
        <v>103</v>
      </c>
      <c r="F76" s="61" t="s">
        <v>208</v>
      </c>
      <c r="G76" s="293">
        <v>43373</v>
      </c>
      <c r="H76" s="383">
        <v>126600</v>
      </c>
      <c r="I76" s="384" t="s">
        <v>153</v>
      </c>
      <c r="K76" s="349"/>
    </row>
    <row r="77" spans="1:11">
      <c r="A77" s="64" t="s">
        <v>207</v>
      </c>
      <c r="B77" s="229" t="s">
        <v>95</v>
      </c>
      <c r="C77" s="295">
        <v>43257</v>
      </c>
      <c r="D77" s="229" t="s">
        <v>114</v>
      </c>
      <c r="E77" s="229" t="s">
        <v>103</v>
      </c>
      <c r="F77" s="67" t="s">
        <v>209</v>
      </c>
      <c r="G77" s="295">
        <v>43388</v>
      </c>
      <c r="H77" s="389">
        <v>107837</v>
      </c>
      <c r="I77" s="390" t="s">
        <v>153</v>
      </c>
      <c r="K77" s="349"/>
    </row>
    <row r="78" spans="1:11">
      <c r="A78" s="19" t="s">
        <v>210</v>
      </c>
      <c r="F78" s="109"/>
      <c r="H78" s="502">
        <f>SUM(H76:H77)</f>
        <v>234437</v>
      </c>
      <c r="I78" s="391"/>
    </row>
    <row r="79" spans="1:11">
      <c r="A79" s="58" t="s">
        <v>211</v>
      </c>
      <c r="B79" s="507" t="s">
        <v>95</v>
      </c>
      <c r="C79" s="293">
        <v>43287</v>
      </c>
      <c r="D79" s="228" t="s">
        <v>96</v>
      </c>
      <c r="E79" s="228" t="s">
        <v>115</v>
      </c>
      <c r="F79" s="61" t="s">
        <v>212</v>
      </c>
      <c r="G79" s="382">
        <v>43454</v>
      </c>
      <c r="H79" s="383">
        <v>40934.6</v>
      </c>
      <c r="I79" s="212" t="s">
        <v>213</v>
      </c>
    </row>
    <row r="80" spans="1:11">
      <c r="A80" s="223" t="s">
        <v>211</v>
      </c>
      <c r="B80" s="508" t="s">
        <v>95</v>
      </c>
      <c r="C80" s="22">
        <v>43293</v>
      </c>
      <c r="D80" s="21" t="s">
        <v>96</v>
      </c>
      <c r="E80" s="21" t="s">
        <v>115</v>
      </c>
      <c r="F80" s="109" t="s">
        <v>214</v>
      </c>
      <c r="G80" s="385">
        <v>43459</v>
      </c>
      <c r="H80" s="386">
        <v>53000</v>
      </c>
      <c r="I80" s="214" t="s">
        <v>99</v>
      </c>
    </row>
    <row r="81" spans="1:9">
      <c r="A81" s="223" t="s">
        <v>211</v>
      </c>
      <c r="B81" s="508" t="s">
        <v>95</v>
      </c>
      <c r="C81" s="22">
        <v>43304</v>
      </c>
      <c r="D81" s="21" t="s">
        <v>96</v>
      </c>
      <c r="E81" s="21" t="s">
        <v>115</v>
      </c>
      <c r="F81" s="109" t="s">
        <v>215</v>
      </c>
      <c r="G81" s="385">
        <v>43485</v>
      </c>
      <c r="H81" s="386">
        <v>55000</v>
      </c>
      <c r="I81" s="214" t="s">
        <v>99</v>
      </c>
    </row>
    <row r="82" spans="1:9">
      <c r="A82" s="223" t="s">
        <v>211</v>
      </c>
      <c r="B82" s="508" t="s">
        <v>95</v>
      </c>
      <c r="C82" s="22">
        <v>43304</v>
      </c>
      <c r="D82" s="21" t="s">
        <v>96</v>
      </c>
      <c r="E82" s="21" t="s">
        <v>115</v>
      </c>
      <c r="F82" s="109" t="s">
        <v>216</v>
      </c>
      <c r="G82" s="385">
        <v>43490</v>
      </c>
      <c r="H82" s="386">
        <v>57977</v>
      </c>
      <c r="I82" s="214" t="s">
        <v>99</v>
      </c>
    </row>
    <row r="83" spans="1:9">
      <c r="A83" s="64" t="s">
        <v>211</v>
      </c>
      <c r="B83" s="509" t="s">
        <v>95</v>
      </c>
      <c r="C83" s="295">
        <v>43322</v>
      </c>
      <c r="D83" s="229" t="s">
        <v>96</v>
      </c>
      <c r="E83" s="229" t="s">
        <v>115</v>
      </c>
      <c r="F83" s="67" t="s">
        <v>217</v>
      </c>
      <c r="G83" s="388">
        <v>43495</v>
      </c>
      <c r="H83" s="389">
        <v>77193.65</v>
      </c>
      <c r="I83" s="217" t="s">
        <v>99</v>
      </c>
    </row>
    <row r="84" spans="1:9">
      <c r="A84" s="19" t="s">
        <v>218</v>
      </c>
      <c r="B84" s="508"/>
      <c r="F84" s="109"/>
      <c r="G84" s="385"/>
      <c r="H84" s="502">
        <f>SUM(H79:H83)</f>
        <v>284105.25</v>
      </c>
    </row>
    <row r="85" spans="1:9">
      <c r="A85" s="219" t="s">
        <v>219</v>
      </c>
      <c r="B85" s="228" t="s">
        <v>95</v>
      </c>
      <c r="C85" s="293">
        <v>43194</v>
      </c>
      <c r="D85" s="228" t="s">
        <v>114</v>
      </c>
      <c r="E85" s="228" t="s">
        <v>220</v>
      </c>
      <c r="F85" s="61" t="s">
        <v>221</v>
      </c>
      <c r="G85" s="293">
        <v>43521</v>
      </c>
      <c r="H85" s="503">
        <v>597798.26</v>
      </c>
      <c r="I85" s="212" t="s">
        <v>98</v>
      </c>
    </row>
    <row r="86" spans="1:9">
      <c r="A86" s="210" t="s">
        <v>222</v>
      </c>
      <c r="B86" s="228" t="s">
        <v>95</v>
      </c>
      <c r="C86" s="293">
        <v>43585</v>
      </c>
      <c r="D86" s="228" t="s">
        <v>96</v>
      </c>
      <c r="E86" s="228" t="s">
        <v>115</v>
      </c>
      <c r="F86" s="80" t="s">
        <v>223</v>
      </c>
      <c r="G86" s="293">
        <v>43740</v>
      </c>
      <c r="H86" s="500">
        <v>243.16</v>
      </c>
      <c r="I86" s="212" t="s">
        <v>224</v>
      </c>
    </row>
    <row r="87" spans="1:9">
      <c r="A87" s="213" t="s">
        <v>222</v>
      </c>
      <c r="B87" s="21" t="s">
        <v>95</v>
      </c>
      <c r="C87" s="22">
        <v>43973</v>
      </c>
      <c r="D87" s="21" t="s">
        <v>96</v>
      </c>
      <c r="E87" s="21" t="s">
        <v>115</v>
      </c>
      <c r="F87" s="23" t="s">
        <v>225</v>
      </c>
      <c r="G87" s="22">
        <v>44315</v>
      </c>
      <c r="H87" s="494">
        <v>18827</v>
      </c>
      <c r="I87" s="214" t="s">
        <v>153</v>
      </c>
    </row>
    <row r="88" spans="1:9">
      <c r="A88" s="213" t="s">
        <v>222</v>
      </c>
      <c r="B88" s="21" t="s">
        <v>95</v>
      </c>
      <c r="C88" s="22">
        <v>43973</v>
      </c>
      <c r="D88" s="21" t="s">
        <v>96</v>
      </c>
      <c r="E88" s="21" t="s">
        <v>115</v>
      </c>
      <c r="F88" s="23" t="s">
        <v>226</v>
      </c>
      <c r="G88" s="22">
        <v>44330</v>
      </c>
      <c r="H88" s="494">
        <v>15000</v>
      </c>
      <c r="I88" s="214" t="s">
        <v>153</v>
      </c>
    </row>
    <row r="89" spans="1:9">
      <c r="A89" s="215" t="s">
        <v>222</v>
      </c>
      <c r="B89" s="229" t="s">
        <v>95</v>
      </c>
      <c r="C89" s="295">
        <v>43973</v>
      </c>
      <c r="D89" s="229" t="s">
        <v>96</v>
      </c>
      <c r="E89" s="229" t="s">
        <v>115</v>
      </c>
      <c r="F89" s="89" t="s">
        <v>227</v>
      </c>
      <c r="G89" s="295">
        <v>44337</v>
      </c>
      <c r="H89" s="501">
        <v>18000</v>
      </c>
      <c r="I89" s="217" t="s">
        <v>99</v>
      </c>
    </row>
    <row r="90" spans="1:9">
      <c r="A90" s="19" t="s">
        <v>228</v>
      </c>
      <c r="H90" s="502">
        <f>SUM(H86:H89)</f>
        <v>52070.16</v>
      </c>
    </row>
    <row r="91" spans="1:9">
      <c r="A91" s="207" t="s">
        <v>229</v>
      </c>
      <c r="B91" s="149" t="s">
        <v>95</v>
      </c>
      <c r="C91" s="150">
        <v>43112</v>
      </c>
      <c r="D91" s="149" t="s">
        <v>114</v>
      </c>
      <c r="E91" s="149" t="s">
        <v>103</v>
      </c>
      <c r="F91" s="16" t="s">
        <v>230</v>
      </c>
      <c r="G91" s="150">
        <v>43159</v>
      </c>
      <c r="H91" s="208">
        <v>15372</v>
      </c>
      <c r="I91" s="152" t="s">
        <v>231</v>
      </c>
    </row>
    <row r="92" spans="1:9">
      <c r="A92" s="227" t="s">
        <v>232</v>
      </c>
      <c r="B92" s="21" t="s">
        <v>95</v>
      </c>
      <c r="C92" s="22">
        <v>39768</v>
      </c>
      <c r="D92" s="21" t="s">
        <v>96</v>
      </c>
      <c r="E92" s="21" t="s">
        <v>106</v>
      </c>
      <c r="F92" s="109" t="s">
        <v>233</v>
      </c>
      <c r="G92" s="385">
        <v>43585</v>
      </c>
      <c r="H92" s="502">
        <v>1925.6</v>
      </c>
      <c r="I92" s="387" t="s">
        <v>234</v>
      </c>
    </row>
    <row r="93" spans="1:9">
      <c r="A93" s="210" t="s">
        <v>235</v>
      </c>
      <c r="B93" s="228" t="s">
        <v>95</v>
      </c>
      <c r="C93" s="293" t="s">
        <v>236</v>
      </c>
      <c r="D93" s="228" t="s">
        <v>114</v>
      </c>
      <c r="E93" s="228" t="s">
        <v>103</v>
      </c>
      <c r="F93" s="61" t="s">
        <v>237</v>
      </c>
      <c r="G93" s="382">
        <v>43836</v>
      </c>
      <c r="H93" s="383">
        <v>80869.32</v>
      </c>
      <c r="I93" s="384" t="s">
        <v>238</v>
      </c>
    </row>
    <row r="94" spans="1:9">
      <c r="A94" s="213" t="s">
        <v>235</v>
      </c>
      <c r="B94" s="21" t="s">
        <v>95</v>
      </c>
      <c r="C94" s="22">
        <v>43466</v>
      </c>
      <c r="D94" s="21" t="s">
        <v>114</v>
      </c>
      <c r="E94" s="21" t="s">
        <v>103</v>
      </c>
      <c r="F94" s="109" t="s">
        <v>239</v>
      </c>
      <c r="G94" s="385">
        <v>46057</v>
      </c>
      <c r="H94" s="386">
        <v>100000</v>
      </c>
      <c r="I94" s="387" t="s">
        <v>98</v>
      </c>
    </row>
    <row r="95" spans="1:9">
      <c r="A95" s="213" t="s">
        <v>235</v>
      </c>
      <c r="B95" s="21" t="s">
        <v>95</v>
      </c>
      <c r="C95" s="22">
        <v>43466</v>
      </c>
      <c r="D95" s="21" t="s">
        <v>114</v>
      </c>
      <c r="E95" s="21" t="s">
        <v>103</v>
      </c>
      <c r="F95" s="109" t="s">
        <v>240</v>
      </c>
      <c r="G95" s="385">
        <v>46080</v>
      </c>
      <c r="H95" s="386">
        <v>100000</v>
      </c>
      <c r="I95" s="387" t="s">
        <v>98</v>
      </c>
    </row>
    <row r="96" spans="1:9">
      <c r="A96" s="215" t="s">
        <v>235</v>
      </c>
      <c r="B96" s="229" t="s">
        <v>95</v>
      </c>
      <c r="C96" s="295">
        <v>43466</v>
      </c>
      <c r="D96" s="229" t="s">
        <v>114</v>
      </c>
      <c r="E96" s="229" t="s">
        <v>103</v>
      </c>
      <c r="F96" s="89" t="s">
        <v>241</v>
      </c>
      <c r="G96" s="295">
        <v>46112</v>
      </c>
      <c r="H96" s="501">
        <v>100000</v>
      </c>
      <c r="I96" s="390" t="s">
        <v>98</v>
      </c>
    </row>
    <row r="97" spans="1:9">
      <c r="A97" s="227" t="s">
        <v>242</v>
      </c>
      <c r="F97" s="109"/>
      <c r="G97" s="385"/>
      <c r="H97" s="502">
        <f>SUM(H93:H96)</f>
        <v>380869.32</v>
      </c>
      <c r="I97" s="391"/>
    </row>
    <row r="98" spans="1:9">
      <c r="A98" s="58" t="s">
        <v>243</v>
      </c>
      <c r="B98" s="228" t="s">
        <v>95</v>
      </c>
      <c r="C98" s="293">
        <v>43610</v>
      </c>
      <c r="D98" s="228" t="s">
        <v>114</v>
      </c>
      <c r="E98" s="228" t="s">
        <v>97</v>
      </c>
      <c r="F98" s="80" t="s">
        <v>244</v>
      </c>
      <c r="G98" s="293">
        <v>43749</v>
      </c>
      <c r="H98" s="500">
        <v>3568</v>
      </c>
      <c r="I98" s="212" t="s">
        <v>245</v>
      </c>
    </row>
    <row r="99" spans="1:9">
      <c r="A99" s="223" t="s">
        <v>243</v>
      </c>
      <c r="B99" s="21" t="s">
        <v>95</v>
      </c>
      <c r="C99" s="22">
        <v>43645</v>
      </c>
      <c r="D99" s="21" t="s">
        <v>114</v>
      </c>
      <c r="E99" s="21" t="s">
        <v>97</v>
      </c>
      <c r="F99" s="23" t="s">
        <v>246</v>
      </c>
      <c r="G99" s="22">
        <v>43762</v>
      </c>
      <c r="H99" s="494">
        <v>18144</v>
      </c>
      <c r="I99" s="214" t="s">
        <v>247</v>
      </c>
    </row>
    <row r="100" spans="1:9">
      <c r="A100" s="64" t="s">
        <v>248</v>
      </c>
      <c r="B100" s="229" t="s">
        <v>95</v>
      </c>
      <c r="C100" s="295">
        <v>43610</v>
      </c>
      <c r="D100" s="229" t="s">
        <v>96</v>
      </c>
      <c r="E100" s="229" t="s">
        <v>115</v>
      </c>
      <c r="F100" s="89" t="s">
        <v>249</v>
      </c>
      <c r="G100" s="295">
        <v>44286</v>
      </c>
      <c r="H100" s="501">
        <v>140000</v>
      </c>
      <c r="I100" s="217" t="s">
        <v>250</v>
      </c>
    </row>
    <row r="101" spans="1:9">
      <c r="A101" s="19" t="s">
        <v>251</v>
      </c>
      <c r="H101" s="502">
        <f>SUM(H98:H100)</f>
        <v>161712</v>
      </c>
    </row>
    <row r="102" spans="1:9">
      <c r="A102" s="58" t="s">
        <v>252</v>
      </c>
      <c r="B102" s="228" t="s">
        <v>95</v>
      </c>
      <c r="C102" s="293">
        <v>43718</v>
      </c>
      <c r="D102" s="228" t="s">
        <v>96</v>
      </c>
      <c r="E102" s="228" t="s">
        <v>115</v>
      </c>
      <c r="F102" s="80" t="s">
        <v>253</v>
      </c>
      <c r="G102" s="293">
        <v>44015</v>
      </c>
      <c r="H102" s="500">
        <v>18000</v>
      </c>
      <c r="I102" s="212" t="s">
        <v>254</v>
      </c>
    </row>
    <row r="103" spans="1:9">
      <c r="A103" s="223" t="s">
        <v>252</v>
      </c>
      <c r="B103" s="21" t="s">
        <v>95</v>
      </c>
      <c r="C103" s="22">
        <v>43718</v>
      </c>
      <c r="D103" s="21" t="s">
        <v>96</v>
      </c>
      <c r="E103" s="21" t="s">
        <v>115</v>
      </c>
      <c r="F103" s="23" t="s">
        <v>255</v>
      </c>
      <c r="G103" s="22">
        <v>44019</v>
      </c>
      <c r="H103" s="494">
        <v>25000</v>
      </c>
      <c r="I103" s="214" t="s">
        <v>99</v>
      </c>
    </row>
    <row r="104" spans="1:9">
      <c r="A104" s="223" t="s">
        <v>252</v>
      </c>
      <c r="B104" s="21" t="s">
        <v>95</v>
      </c>
      <c r="C104" s="22">
        <v>43718</v>
      </c>
      <c r="D104" s="21" t="s">
        <v>96</v>
      </c>
      <c r="E104" s="21" t="s">
        <v>115</v>
      </c>
      <c r="F104" s="23" t="s">
        <v>256</v>
      </c>
      <c r="G104" s="22">
        <v>44023</v>
      </c>
      <c r="H104" s="494">
        <v>20620.4</v>
      </c>
      <c r="I104" s="214" t="s">
        <v>99</v>
      </c>
    </row>
    <row r="105" spans="1:9">
      <c r="A105" s="223" t="s">
        <v>252</v>
      </c>
      <c r="B105" s="21" t="s">
        <v>95</v>
      </c>
      <c r="C105" s="22">
        <v>43718</v>
      </c>
      <c r="D105" s="21" t="s">
        <v>96</v>
      </c>
      <c r="E105" s="21" t="s">
        <v>115</v>
      </c>
      <c r="F105" s="23" t="s">
        <v>257</v>
      </c>
      <c r="G105" s="22">
        <v>44030</v>
      </c>
      <c r="H105" s="494">
        <v>22000</v>
      </c>
      <c r="I105" s="214" t="s">
        <v>99</v>
      </c>
    </row>
    <row r="106" spans="1:9">
      <c r="A106" s="223" t="s">
        <v>252</v>
      </c>
      <c r="B106" s="21" t="s">
        <v>95</v>
      </c>
      <c r="C106" s="22">
        <v>43718</v>
      </c>
      <c r="D106" s="21" t="s">
        <v>96</v>
      </c>
      <c r="E106" s="21" t="s">
        <v>115</v>
      </c>
      <c r="F106" s="23" t="s">
        <v>258</v>
      </c>
      <c r="G106" s="22">
        <v>44026</v>
      </c>
      <c r="H106" s="494">
        <v>24686.48</v>
      </c>
      <c r="I106" s="214" t="s">
        <v>99</v>
      </c>
    </row>
    <row r="107" spans="1:9">
      <c r="A107" s="223" t="s">
        <v>252</v>
      </c>
      <c r="B107" s="21" t="s">
        <v>95</v>
      </c>
      <c r="C107" s="22">
        <v>43718</v>
      </c>
      <c r="D107" s="21" t="s">
        <v>96</v>
      </c>
      <c r="E107" s="21" t="s">
        <v>115</v>
      </c>
      <c r="F107" s="23" t="s">
        <v>259</v>
      </c>
      <c r="G107" s="22">
        <v>44033</v>
      </c>
      <c r="H107" s="494">
        <v>18000</v>
      </c>
      <c r="I107" s="214" t="s">
        <v>99</v>
      </c>
    </row>
    <row r="108" spans="1:9">
      <c r="A108" s="223" t="s">
        <v>252</v>
      </c>
      <c r="B108" s="21" t="s">
        <v>95</v>
      </c>
      <c r="C108" s="22">
        <v>43718</v>
      </c>
      <c r="D108" s="21" t="s">
        <v>96</v>
      </c>
      <c r="E108" s="21" t="s">
        <v>115</v>
      </c>
      <c r="F108" s="23" t="s">
        <v>260</v>
      </c>
      <c r="G108" s="22">
        <v>44081</v>
      </c>
      <c r="H108" s="494">
        <v>20243.76</v>
      </c>
      <c r="I108" s="214" t="s">
        <v>99</v>
      </c>
    </row>
    <row r="109" spans="1:9">
      <c r="A109" s="223" t="s">
        <v>252</v>
      </c>
      <c r="B109" s="21" t="s">
        <v>95</v>
      </c>
      <c r="C109" s="22">
        <v>44084</v>
      </c>
      <c r="D109" s="21" t="s">
        <v>96</v>
      </c>
      <c r="E109" s="21" t="s">
        <v>115</v>
      </c>
      <c r="F109" s="23" t="s">
        <v>261</v>
      </c>
      <c r="G109" s="22">
        <v>44089</v>
      </c>
      <c r="H109" s="494">
        <v>22000</v>
      </c>
      <c r="I109" s="214" t="s">
        <v>153</v>
      </c>
    </row>
    <row r="110" spans="1:9">
      <c r="A110" s="223" t="s">
        <v>252</v>
      </c>
      <c r="B110" s="21" t="s">
        <v>95</v>
      </c>
      <c r="C110" s="22">
        <v>43774</v>
      </c>
      <c r="D110" s="21" t="s">
        <v>96</v>
      </c>
      <c r="E110" s="21" t="s">
        <v>115</v>
      </c>
      <c r="F110" s="23" t="s">
        <v>262</v>
      </c>
      <c r="G110" s="22">
        <v>44095</v>
      </c>
      <c r="H110" s="494">
        <v>18000</v>
      </c>
      <c r="I110" s="214" t="s">
        <v>98</v>
      </c>
    </row>
    <row r="111" spans="1:9">
      <c r="A111" s="223" t="s">
        <v>252</v>
      </c>
      <c r="B111" s="21" t="s">
        <v>95</v>
      </c>
      <c r="C111" s="22">
        <v>43815</v>
      </c>
      <c r="D111" s="21" t="s">
        <v>96</v>
      </c>
      <c r="E111" s="21" t="s">
        <v>115</v>
      </c>
      <c r="F111" s="23" t="s">
        <v>263</v>
      </c>
      <c r="G111" s="22">
        <v>44099</v>
      </c>
      <c r="H111" s="494">
        <v>17500</v>
      </c>
      <c r="I111" s="214" t="s">
        <v>99</v>
      </c>
    </row>
    <row r="112" spans="1:9">
      <c r="A112" s="223" t="s">
        <v>252</v>
      </c>
      <c r="B112" s="21" t="s">
        <v>95</v>
      </c>
      <c r="C112" s="22">
        <v>43815</v>
      </c>
      <c r="D112" s="21" t="s">
        <v>96</v>
      </c>
      <c r="E112" s="21" t="s">
        <v>115</v>
      </c>
      <c r="F112" s="23" t="s">
        <v>264</v>
      </c>
      <c r="G112" s="22">
        <v>44104</v>
      </c>
      <c r="H112" s="494">
        <v>20000</v>
      </c>
      <c r="I112" s="214" t="s">
        <v>153</v>
      </c>
    </row>
    <row r="113" spans="1:9">
      <c r="A113" s="223" t="s">
        <v>252</v>
      </c>
      <c r="B113" s="21" t="s">
        <v>95</v>
      </c>
      <c r="C113" s="22">
        <v>43815</v>
      </c>
      <c r="D113" s="21" t="s">
        <v>96</v>
      </c>
      <c r="E113" s="21" t="s">
        <v>115</v>
      </c>
      <c r="F113" s="23" t="s">
        <v>265</v>
      </c>
      <c r="G113" s="22">
        <v>44109</v>
      </c>
      <c r="H113" s="494">
        <v>15000</v>
      </c>
      <c r="I113" s="214" t="s">
        <v>153</v>
      </c>
    </row>
    <row r="114" spans="1:9">
      <c r="A114" s="223" t="s">
        <v>252</v>
      </c>
      <c r="B114" s="21" t="s">
        <v>95</v>
      </c>
      <c r="C114" s="22">
        <v>43815</v>
      </c>
      <c r="D114" s="21" t="s">
        <v>96</v>
      </c>
      <c r="E114" s="21" t="s">
        <v>115</v>
      </c>
      <c r="F114" s="23" t="s">
        <v>266</v>
      </c>
      <c r="G114" s="22">
        <v>44113</v>
      </c>
      <c r="H114" s="494">
        <v>14500</v>
      </c>
      <c r="I114" s="214" t="s">
        <v>153</v>
      </c>
    </row>
    <row r="115" spans="1:9">
      <c r="A115" s="223" t="s">
        <v>252</v>
      </c>
      <c r="B115" s="21" t="s">
        <v>95</v>
      </c>
      <c r="C115" s="22">
        <v>43815</v>
      </c>
      <c r="D115" s="21" t="s">
        <v>96</v>
      </c>
      <c r="E115" s="21" t="s">
        <v>115</v>
      </c>
      <c r="F115" s="23" t="s">
        <v>267</v>
      </c>
      <c r="G115" s="22">
        <v>44124</v>
      </c>
      <c r="H115" s="494">
        <v>19000</v>
      </c>
      <c r="I115" s="214" t="s">
        <v>98</v>
      </c>
    </row>
    <row r="116" spans="1:9">
      <c r="A116" s="223" t="s">
        <v>252</v>
      </c>
      <c r="B116" s="21" t="s">
        <v>95</v>
      </c>
      <c r="C116" s="22" t="s">
        <v>268</v>
      </c>
      <c r="D116" s="21" t="s">
        <v>96</v>
      </c>
      <c r="E116" s="21" t="s">
        <v>115</v>
      </c>
      <c r="F116" s="23" t="s">
        <v>269</v>
      </c>
      <c r="G116" s="22">
        <v>44134</v>
      </c>
      <c r="H116" s="494">
        <v>20485.52</v>
      </c>
      <c r="I116" s="214" t="s">
        <v>99</v>
      </c>
    </row>
    <row r="117" spans="1:9">
      <c r="A117" s="223" t="s">
        <v>252</v>
      </c>
      <c r="B117" s="21" t="s">
        <v>95</v>
      </c>
      <c r="C117" s="22">
        <v>43872</v>
      </c>
      <c r="D117" s="21" t="s">
        <v>96</v>
      </c>
      <c r="E117" s="21" t="s">
        <v>115</v>
      </c>
      <c r="F117" s="23" t="s">
        <v>189</v>
      </c>
      <c r="G117" s="22">
        <v>44141</v>
      </c>
      <c r="H117" s="494">
        <v>18500</v>
      </c>
      <c r="I117" s="214" t="s">
        <v>99</v>
      </c>
    </row>
    <row r="118" spans="1:9">
      <c r="A118" s="223" t="s">
        <v>252</v>
      </c>
      <c r="B118" s="21" t="s">
        <v>95</v>
      </c>
      <c r="C118" s="22">
        <v>43872</v>
      </c>
      <c r="D118" s="21" t="s">
        <v>96</v>
      </c>
      <c r="E118" s="21" t="s">
        <v>115</v>
      </c>
      <c r="F118" s="23" t="s">
        <v>270</v>
      </c>
      <c r="G118" s="22">
        <v>44146</v>
      </c>
      <c r="H118" s="494">
        <v>21429.36</v>
      </c>
      <c r="I118" s="214" t="s">
        <v>153</v>
      </c>
    </row>
    <row r="119" spans="1:9">
      <c r="A119" s="223" t="s">
        <v>252</v>
      </c>
      <c r="B119" s="21" t="s">
        <v>95</v>
      </c>
      <c r="C119" s="22">
        <v>43885</v>
      </c>
      <c r="D119" s="21" t="s">
        <v>96</v>
      </c>
      <c r="E119" s="21" t="s">
        <v>115</v>
      </c>
      <c r="F119" s="23" t="s">
        <v>271</v>
      </c>
      <c r="G119" s="22">
        <v>44160</v>
      </c>
      <c r="H119" s="494">
        <v>22000</v>
      </c>
      <c r="I119" s="214" t="s">
        <v>153</v>
      </c>
    </row>
    <row r="120" spans="1:9">
      <c r="A120" s="223" t="s">
        <v>252</v>
      </c>
      <c r="B120" s="21" t="s">
        <v>95</v>
      </c>
      <c r="C120" s="22">
        <v>43872</v>
      </c>
      <c r="D120" s="21" t="s">
        <v>96</v>
      </c>
      <c r="E120" s="21" t="s">
        <v>115</v>
      </c>
      <c r="F120" s="23" t="s">
        <v>272</v>
      </c>
      <c r="G120" s="22">
        <v>44152</v>
      </c>
      <c r="H120" s="494">
        <v>21000</v>
      </c>
      <c r="I120" s="214" t="s">
        <v>153</v>
      </c>
    </row>
    <row r="121" spans="1:9">
      <c r="A121" s="223" t="s">
        <v>252</v>
      </c>
      <c r="B121" s="21" t="s">
        <v>95</v>
      </c>
      <c r="C121" s="22">
        <v>43885</v>
      </c>
      <c r="D121" s="21" t="s">
        <v>96</v>
      </c>
      <c r="E121" s="21" t="s">
        <v>115</v>
      </c>
      <c r="F121" s="23" t="s">
        <v>273</v>
      </c>
      <c r="G121" s="22">
        <v>44155</v>
      </c>
      <c r="H121" s="494">
        <v>16500</v>
      </c>
      <c r="I121" s="214" t="s">
        <v>153</v>
      </c>
    </row>
    <row r="122" spans="1:9">
      <c r="A122" s="223" t="s">
        <v>252</v>
      </c>
      <c r="B122" s="21" t="s">
        <v>95</v>
      </c>
      <c r="C122" s="22">
        <v>43885</v>
      </c>
      <c r="D122" s="21" t="s">
        <v>96</v>
      </c>
      <c r="E122" s="21" t="s">
        <v>115</v>
      </c>
      <c r="F122" s="23" t="s">
        <v>274</v>
      </c>
      <c r="G122" s="22">
        <v>44162</v>
      </c>
      <c r="H122" s="494">
        <v>18500</v>
      </c>
      <c r="I122" s="214" t="s">
        <v>153</v>
      </c>
    </row>
    <row r="123" spans="1:9">
      <c r="A123" s="223" t="s">
        <v>252</v>
      </c>
      <c r="B123" s="21" t="s">
        <v>95</v>
      </c>
      <c r="C123" s="22">
        <v>43872</v>
      </c>
      <c r="D123" s="21" t="s">
        <v>96</v>
      </c>
      <c r="E123" s="21" t="s">
        <v>115</v>
      </c>
      <c r="F123" s="23" t="s">
        <v>275</v>
      </c>
      <c r="G123" s="22">
        <v>44148</v>
      </c>
      <c r="H123" s="494">
        <v>17000</v>
      </c>
      <c r="I123" s="214" t="s">
        <v>153</v>
      </c>
    </row>
    <row r="124" spans="1:9">
      <c r="A124" s="223" t="s">
        <v>252</v>
      </c>
      <c r="B124" s="21" t="s">
        <v>95</v>
      </c>
      <c r="C124" s="22">
        <v>43900</v>
      </c>
      <c r="D124" s="21" t="s">
        <v>96</v>
      </c>
      <c r="E124" s="21" t="s">
        <v>115</v>
      </c>
      <c r="F124" s="23" t="s">
        <v>276</v>
      </c>
      <c r="G124" s="22">
        <v>44165</v>
      </c>
      <c r="H124" s="494">
        <v>20000</v>
      </c>
      <c r="I124" s="214" t="s">
        <v>153</v>
      </c>
    </row>
    <row r="125" spans="1:9">
      <c r="A125" s="223" t="s">
        <v>252</v>
      </c>
      <c r="B125" s="21" t="s">
        <v>95</v>
      </c>
      <c r="C125" s="22">
        <v>43763</v>
      </c>
      <c r="D125" s="21" t="s">
        <v>96</v>
      </c>
      <c r="E125" s="21" t="s">
        <v>115</v>
      </c>
      <c r="F125" s="23" t="s">
        <v>277</v>
      </c>
      <c r="G125" s="22">
        <v>43921</v>
      </c>
      <c r="H125" s="494">
        <v>20500</v>
      </c>
      <c r="I125" s="214" t="s">
        <v>278</v>
      </c>
    </row>
    <row r="126" spans="1:9">
      <c r="A126" s="223" t="s">
        <v>252</v>
      </c>
      <c r="B126" s="21" t="s">
        <v>95</v>
      </c>
      <c r="C126" s="22">
        <v>43763</v>
      </c>
      <c r="D126" s="21" t="s">
        <v>96</v>
      </c>
      <c r="E126" s="21" t="s">
        <v>115</v>
      </c>
      <c r="F126" s="23" t="s">
        <v>279</v>
      </c>
      <c r="G126" s="22">
        <v>43926</v>
      </c>
      <c r="H126" s="494">
        <v>25870.44</v>
      </c>
      <c r="I126" s="214" t="s">
        <v>280</v>
      </c>
    </row>
    <row r="127" spans="1:9">
      <c r="A127" s="64" t="s">
        <v>252</v>
      </c>
      <c r="B127" s="229" t="s">
        <v>95</v>
      </c>
      <c r="C127" s="295">
        <v>44449</v>
      </c>
      <c r="D127" s="229" t="s">
        <v>96</v>
      </c>
      <c r="E127" s="229" t="s">
        <v>115</v>
      </c>
      <c r="F127" s="89" t="s">
        <v>281</v>
      </c>
      <c r="G127" s="295">
        <v>43991</v>
      </c>
      <c r="H127" s="501">
        <v>20000</v>
      </c>
      <c r="I127" s="217" t="s">
        <v>282</v>
      </c>
    </row>
    <row r="128" spans="1:9">
      <c r="A128" s="19" t="s">
        <v>283</v>
      </c>
      <c r="H128" s="502">
        <f>SUM(H102:H127)</f>
        <v>516335.96</v>
      </c>
    </row>
    <row r="129" spans="1:9">
      <c r="A129" s="207" t="s">
        <v>284</v>
      </c>
      <c r="B129" s="149" t="s">
        <v>95</v>
      </c>
      <c r="C129" s="150">
        <v>42839</v>
      </c>
      <c r="D129" s="149" t="s">
        <v>96</v>
      </c>
      <c r="E129" s="149" t="s">
        <v>185</v>
      </c>
      <c r="F129" s="16" t="s">
        <v>285</v>
      </c>
      <c r="G129" s="150">
        <v>43961</v>
      </c>
      <c r="H129" s="208">
        <v>20000</v>
      </c>
      <c r="I129" s="152" t="s">
        <v>99</v>
      </c>
    </row>
    <row r="130" spans="1:9">
      <c r="A130" s="219" t="s">
        <v>286</v>
      </c>
      <c r="B130" s="228" t="s">
        <v>95</v>
      </c>
      <c r="C130" s="293">
        <v>43543</v>
      </c>
      <c r="D130" s="228" t="s">
        <v>96</v>
      </c>
      <c r="E130" s="228" t="s">
        <v>185</v>
      </c>
      <c r="F130" s="80" t="s">
        <v>287</v>
      </c>
      <c r="G130" s="293">
        <v>43981</v>
      </c>
      <c r="H130" s="503">
        <v>10000</v>
      </c>
      <c r="I130" s="212" t="s">
        <v>98</v>
      </c>
    </row>
    <row r="131" spans="1:9">
      <c r="A131" s="207" t="s">
        <v>288</v>
      </c>
      <c r="B131" s="149" t="s">
        <v>95</v>
      </c>
      <c r="C131" s="150">
        <v>44270</v>
      </c>
      <c r="D131" s="149" t="s">
        <v>114</v>
      </c>
      <c r="E131" s="149" t="s">
        <v>103</v>
      </c>
      <c r="F131" s="16" t="s">
        <v>289</v>
      </c>
      <c r="G131" s="150">
        <v>44535</v>
      </c>
      <c r="H131" s="208">
        <v>135</v>
      </c>
      <c r="I131" s="152" t="s">
        <v>290</v>
      </c>
    </row>
    <row r="132" spans="1:9">
      <c r="A132" s="64" t="s">
        <v>291</v>
      </c>
      <c r="B132" s="229" t="s">
        <v>95</v>
      </c>
      <c r="C132" s="295">
        <v>44671</v>
      </c>
      <c r="D132" s="229" t="s">
        <v>114</v>
      </c>
      <c r="E132" s="229" t="s">
        <v>192</v>
      </c>
      <c r="F132" s="89" t="s">
        <v>292</v>
      </c>
      <c r="G132" s="295">
        <v>44788</v>
      </c>
      <c r="H132" s="501">
        <v>5354.15</v>
      </c>
      <c r="I132" s="217" t="s">
        <v>293</v>
      </c>
    </row>
    <row r="133" spans="1:9">
      <c r="A133" s="19" t="s">
        <v>294</v>
      </c>
      <c r="H133" s="502">
        <f>SUM(H132:H132)</f>
        <v>5354.15</v>
      </c>
    </row>
    <row r="134" spans="1:9">
      <c r="A134" s="58" t="s">
        <v>295</v>
      </c>
      <c r="B134" s="228" t="s">
        <v>95</v>
      </c>
      <c r="C134" s="293">
        <v>44512</v>
      </c>
      <c r="D134" s="228" t="s">
        <v>96</v>
      </c>
      <c r="E134" s="228" t="s">
        <v>106</v>
      </c>
      <c r="F134" s="80" t="s">
        <v>296</v>
      </c>
      <c r="G134" s="293">
        <v>44725</v>
      </c>
      <c r="H134" s="500">
        <v>6800</v>
      </c>
      <c r="I134" s="212" t="s">
        <v>297</v>
      </c>
    </row>
    <row r="135" spans="1:9">
      <c r="A135" s="223" t="s">
        <v>295</v>
      </c>
      <c r="B135" s="21" t="s">
        <v>95</v>
      </c>
      <c r="C135" s="22">
        <v>44529</v>
      </c>
      <c r="D135" s="21" t="s">
        <v>96</v>
      </c>
      <c r="E135" s="21" t="s">
        <v>106</v>
      </c>
      <c r="F135" s="23" t="s">
        <v>298</v>
      </c>
      <c r="G135" s="22">
        <v>44730</v>
      </c>
      <c r="H135" s="494">
        <v>26800</v>
      </c>
      <c r="I135" s="214" t="s">
        <v>98</v>
      </c>
    </row>
    <row r="136" spans="1:9">
      <c r="A136" s="223" t="s">
        <v>295</v>
      </c>
      <c r="B136" s="21" t="s">
        <v>95</v>
      </c>
      <c r="C136" s="22">
        <v>44590</v>
      </c>
      <c r="D136" s="21" t="s">
        <v>96</v>
      </c>
      <c r="E136" s="21" t="s">
        <v>106</v>
      </c>
      <c r="F136" s="23" t="s">
        <v>299</v>
      </c>
      <c r="G136" s="22">
        <v>44752</v>
      </c>
      <c r="H136" s="494">
        <v>26800</v>
      </c>
      <c r="I136" s="214" t="s">
        <v>98</v>
      </c>
    </row>
    <row r="137" spans="1:9">
      <c r="A137" s="223" t="s">
        <v>295</v>
      </c>
      <c r="B137" s="21" t="s">
        <v>95</v>
      </c>
      <c r="C137" s="22">
        <v>44600</v>
      </c>
      <c r="D137" s="21" t="s">
        <v>96</v>
      </c>
      <c r="E137" s="21" t="s">
        <v>106</v>
      </c>
      <c r="F137" s="23" t="s">
        <v>300</v>
      </c>
      <c r="G137" s="22">
        <v>44758</v>
      </c>
      <c r="H137" s="494">
        <v>26800</v>
      </c>
      <c r="I137" s="214" t="s">
        <v>98</v>
      </c>
    </row>
    <row r="138" spans="1:9">
      <c r="A138" s="223" t="s">
        <v>295</v>
      </c>
      <c r="B138" s="21" t="s">
        <v>95</v>
      </c>
      <c r="C138" s="22">
        <v>44512</v>
      </c>
      <c r="D138" s="21" t="s">
        <v>96</v>
      </c>
      <c r="E138" s="21" t="s">
        <v>106</v>
      </c>
      <c r="F138" s="23" t="s">
        <v>301</v>
      </c>
      <c r="G138" s="22">
        <v>44764</v>
      </c>
      <c r="H138" s="494">
        <v>30580.5</v>
      </c>
      <c r="I138" s="214" t="s">
        <v>98</v>
      </c>
    </row>
    <row r="139" spans="1:9">
      <c r="A139" s="223" t="s">
        <v>295</v>
      </c>
      <c r="B139" s="21" t="s">
        <v>95</v>
      </c>
      <c r="C139" s="22">
        <v>44600</v>
      </c>
      <c r="D139" s="21" t="s">
        <v>96</v>
      </c>
      <c r="E139" s="21" t="s">
        <v>106</v>
      </c>
      <c r="F139" s="23" t="s">
        <v>302</v>
      </c>
      <c r="G139" s="22">
        <v>44789</v>
      </c>
      <c r="H139" s="494">
        <v>31152</v>
      </c>
      <c r="I139" s="214" t="s">
        <v>98</v>
      </c>
    </row>
    <row r="140" spans="1:9">
      <c r="A140" s="223" t="s">
        <v>295</v>
      </c>
      <c r="B140" s="21" t="s">
        <v>95</v>
      </c>
      <c r="C140" s="22">
        <v>44600</v>
      </c>
      <c r="D140" s="21" t="s">
        <v>96</v>
      </c>
      <c r="E140" s="21" t="s">
        <v>106</v>
      </c>
      <c r="F140" s="23" t="s">
        <v>303</v>
      </c>
      <c r="G140" s="22">
        <v>44793</v>
      </c>
      <c r="H140" s="494">
        <v>30580.5</v>
      </c>
      <c r="I140" s="214" t="s">
        <v>98</v>
      </c>
    </row>
    <row r="141" spans="1:9">
      <c r="A141" s="64" t="s">
        <v>295</v>
      </c>
      <c r="B141" s="229" t="s">
        <v>95</v>
      </c>
      <c r="C141" s="295">
        <v>44600</v>
      </c>
      <c r="D141" s="21" t="s">
        <v>96</v>
      </c>
      <c r="E141" s="229" t="s">
        <v>106</v>
      </c>
      <c r="F141" s="89" t="s">
        <v>304</v>
      </c>
      <c r="G141" s="295">
        <v>44804</v>
      </c>
      <c r="H141" s="501">
        <v>31152</v>
      </c>
      <c r="I141" s="217" t="s">
        <v>98</v>
      </c>
    </row>
    <row r="142" spans="1:9">
      <c r="A142" s="19" t="s">
        <v>305</v>
      </c>
      <c r="H142" s="502">
        <f>SUM(H134:H141)</f>
        <v>210665</v>
      </c>
    </row>
    <row r="143" spans="1:9">
      <c r="A143" s="58" t="s">
        <v>306</v>
      </c>
      <c r="B143" s="228" t="s">
        <v>95</v>
      </c>
      <c r="C143" s="293">
        <v>44845</v>
      </c>
      <c r="D143" s="228" t="s">
        <v>96</v>
      </c>
      <c r="E143" s="228" t="s">
        <v>192</v>
      </c>
      <c r="F143" s="80" t="s">
        <v>307</v>
      </c>
      <c r="G143" s="293">
        <v>44880</v>
      </c>
      <c r="H143" s="500">
        <v>145000</v>
      </c>
      <c r="I143" s="212" t="s">
        <v>98</v>
      </c>
    </row>
    <row r="144" spans="1:9">
      <c r="A144" s="64" t="s">
        <v>306</v>
      </c>
      <c r="B144" s="229" t="s">
        <v>95</v>
      </c>
      <c r="C144" s="295">
        <v>44864</v>
      </c>
      <c r="D144" s="229" t="s">
        <v>96</v>
      </c>
      <c r="E144" s="229" t="s">
        <v>192</v>
      </c>
      <c r="F144" s="89" t="s">
        <v>308</v>
      </c>
      <c r="G144" s="295">
        <v>44895</v>
      </c>
      <c r="H144" s="501">
        <v>146145.01</v>
      </c>
      <c r="I144" s="217"/>
    </row>
    <row r="145" spans="1:21">
      <c r="A145" s="19" t="s">
        <v>309</v>
      </c>
      <c r="H145" s="502">
        <f>SUM(H143:H144)</f>
        <v>291145.01</v>
      </c>
    </row>
    <row r="146" s="493" customFormat="1" spans="1:21">
      <c r="A146" s="510" t="s">
        <v>310</v>
      </c>
      <c r="B146" s="511" t="s">
        <v>95</v>
      </c>
      <c r="C146" s="512">
        <v>43466</v>
      </c>
      <c r="D146" s="511" t="s">
        <v>114</v>
      </c>
      <c r="E146" s="511" t="s">
        <v>119</v>
      </c>
      <c r="F146" s="513" t="s">
        <v>311</v>
      </c>
      <c r="G146" s="512">
        <v>44925</v>
      </c>
      <c r="H146" s="514">
        <v>25000</v>
      </c>
      <c r="I146" s="515" t="s">
        <v>98</v>
      </c>
    </row>
    <row r="147" s="493" customFormat="1" spans="1:21">
      <c r="A147" s="516" t="s">
        <v>310</v>
      </c>
      <c r="B147" s="517" t="s">
        <v>95</v>
      </c>
      <c r="C147" s="518">
        <v>43466</v>
      </c>
      <c r="D147" s="517" t="s">
        <v>114</v>
      </c>
      <c r="E147" s="517" t="s">
        <v>119</v>
      </c>
      <c r="F147" s="519" t="s">
        <v>312</v>
      </c>
      <c r="G147" s="518">
        <v>44957</v>
      </c>
      <c r="H147" s="520">
        <v>27000</v>
      </c>
      <c r="I147" s="521" t="s">
        <v>98</v>
      </c>
    </row>
    <row r="148" s="493" customFormat="1" spans="1:21">
      <c r="A148" s="522" t="s">
        <v>313</v>
      </c>
      <c r="B148" s="523"/>
      <c r="C148" s="524"/>
      <c r="D148" s="523"/>
      <c r="E148" s="523"/>
      <c r="F148" s="525"/>
      <c r="G148" s="524"/>
      <c r="H148" s="526">
        <f>SUM(H146:H147)</f>
        <v>52000</v>
      </c>
      <c r="I148" s="527"/>
    </row>
    <row r="149" spans="1:21">
      <c r="A149" s="58" t="s">
        <v>314</v>
      </c>
      <c r="B149" s="228" t="s">
        <v>95</v>
      </c>
      <c r="C149" s="293">
        <v>45044</v>
      </c>
      <c r="D149" s="228" t="s">
        <v>96</v>
      </c>
      <c r="E149" s="228" t="s">
        <v>185</v>
      </c>
      <c r="F149" s="80" t="s">
        <v>315</v>
      </c>
      <c r="G149" s="293">
        <v>45306</v>
      </c>
      <c r="H149" s="500">
        <v>30557.02</v>
      </c>
      <c r="I149" s="212" t="s">
        <v>316</v>
      </c>
    </row>
    <row r="150" spans="1:21">
      <c r="A150" s="223" t="s">
        <v>317</v>
      </c>
      <c r="B150" s="21" t="s">
        <v>95</v>
      </c>
      <c r="C150" s="22">
        <v>45044</v>
      </c>
      <c r="D150" s="21" t="s">
        <v>96</v>
      </c>
      <c r="E150" s="21" t="s">
        <v>185</v>
      </c>
      <c r="F150" s="23" t="s">
        <v>318</v>
      </c>
      <c r="G150" s="22">
        <v>45219</v>
      </c>
      <c r="H150" s="494">
        <v>2500</v>
      </c>
      <c r="I150" s="214" t="s">
        <v>319</v>
      </c>
    </row>
    <row r="151" spans="1:21">
      <c r="A151" s="223" t="s">
        <v>320</v>
      </c>
      <c r="B151" s="21" t="s">
        <v>95</v>
      </c>
      <c r="C151" s="22">
        <v>45044</v>
      </c>
      <c r="D151" s="21" t="s">
        <v>96</v>
      </c>
      <c r="E151" s="21" t="s">
        <v>185</v>
      </c>
      <c r="F151" s="23" t="s">
        <v>321</v>
      </c>
      <c r="G151" s="22">
        <v>45321</v>
      </c>
      <c r="H151" s="494">
        <v>34900</v>
      </c>
      <c r="I151" s="214" t="s">
        <v>98</v>
      </c>
    </row>
    <row r="152" spans="1:21">
      <c r="A152" s="223" t="s">
        <v>317</v>
      </c>
      <c r="B152" s="21" t="s">
        <v>95</v>
      </c>
      <c r="C152" s="22">
        <v>45044</v>
      </c>
      <c r="D152" s="21" t="s">
        <v>96</v>
      </c>
      <c r="E152" s="21" t="s">
        <v>185</v>
      </c>
      <c r="F152" s="23" t="s">
        <v>322</v>
      </c>
      <c r="G152" s="22">
        <v>45550</v>
      </c>
      <c r="H152" s="494">
        <v>35500</v>
      </c>
      <c r="I152" s="214" t="s">
        <v>323</v>
      </c>
    </row>
    <row r="153" spans="1:21">
      <c r="A153" s="64" t="s">
        <v>317</v>
      </c>
      <c r="B153" s="229" t="s">
        <v>95</v>
      </c>
      <c r="C153" s="295">
        <v>45044</v>
      </c>
      <c r="D153" s="229" t="s">
        <v>96</v>
      </c>
      <c r="E153" s="229" t="s">
        <v>185</v>
      </c>
      <c r="F153" s="89" t="s">
        <v>324</v>
      </c>
      <c r="G153" s="295">
        <v>45585</v>
      </c>
      <c r="H153" s="501">
        <v>35500</v>
      </c>
      <c r="I153" s="217" t="s">
        <v>325</v>
      </c>
    </row>
    <row r="154" spans="1:21">
      <c r="A154" s="19" t="s">
        <v>326</v>
      </c>
      <c r="H154" s="502">
        <f>SUM(H149:H153)</f>
        <v>138957.02</v>
      </c>
    </row>
    <row r="155" spans="1:21">
      <c r="A155" s="148" t="s">
        <v>327</v>
      </c>
      <c r="B155" s="149" t="s">
        <v>95</v>
      </c>
      <c r="C155" s="150">
        <v>44826</v>
      </c>
      <c r="D155" s="149" t="s">
        <v>96</v>
      </c>
      <c r="E155" s="149" t="s">
        <v>185</v>
      </c>
      <c r="F155" s="16" t="s">
        <v>328</v>
      </c>
      <c r="G155" s="150">
        <v>45179</v>
      </c>
      <c r="H155" s="415">
        <v>17300</v>
      </c>
      <c r="I155" s="152" t="s">
        <v>329</v>
      </c>
    </row>
    <row r="156" spans="1:21">
      <c r="A156" s="227" t="s">
        <v>330</v>
      </c>
      <c r="H156" s="502">
        <f>SUM(H155:H155)</f>
        <v>17300</v>
      </c>
    </row>
    <row r="157" spans="1:21">
      <c r="A157" s="207" t="s">
        <v>331</v>
      </c>
      <c r="B157" s="149" t="s">
        <v>95</v>
      </c>
      <c r="C157" s="150">
        <v>44432</v>
      </c>
      <c r="D157" s="149" t="s">
        <v>114</v>
      </c>
      <c r="E157" s="149" t="s">
        <v>185</v>
      </c>
      <c r="F157" s="16" t="s">
        <v>332</v>
      </c>
      <c r="G157" s="150">
        <v>44931</v>
      </c>
      <c r="H157" s="208">
        <v>62000</v>
      </c>
      <c r="I157" s="152" t="s">
        <v>333</v>
      </c>
    </row>
    <row r="158" spans="1:21">
      <c r="A158" s="148" t="s">
        <v>334</v>
      </c>
      <c r="B158" s="149" t="s">
        <v>95</v>
      </c>
      <c r="C158" s="150">
        <v>45043</v>
      </c>
      <c r="D158" s="149" t="s">
        <v>114</v>
      </c>
      <c r="E158" s="149" t="s">
        <v>115</v>
      </c>
      <c r="F158" s="16" t="s">
        <v>335</v>
      </c>
      <c r="G158" s="150">
        <v>45943</v>
      </c>
      <c r="H158" s="528">
        <v>17587</v>
      </c>
      <c r="I158" s="152" t="s">
        <v>336</v>
      </c>
    </row>
    <row r="159" spans="1:21">
      <c r="A159" s="19" t="s">
        <v>337</v>
      </c>
      <c r="H159" s="502">
        <f>SUM(H158:H158)</f>
        <v>17587</v>
      </c>
    </row>
    <row r="160" ht="16.5" customHeight="1" spans="1:21">
      <c r="A160" s="58" t="s">
        <v>338</v>
      </c>
      <c r="B160" s="228" t="s">
        <v>95</v>
      </c>
      <c r="C160" s="293">
        <v>44617</v>
      </c>
      <c r="D160" s="228" t="s">
        <v>96</v>
      </c>
      <c r="E160" s="228" t="s">
        <v>103</v>
      </c>
      <c r="F160" s="80" t="s">
        <v>339</v>
      </c>
      <c r="G160" s="293">
        <v>44925</v>
      </c>
      <c r="H160" s="383">
        <v>25284</v>
      </c>
      <c r="I160" s="212" t="s">
        <v>340</v>
      </c>
      <c r="J160" s="25"/>
      <c r="K160" s="529"/>
      <c r="L160" s="530"/>
      <c r="M160" s="530"/>
      <c r="N160" s="530"/>
      <c r="O160" s="530"/>
      <c r="P160" s="530"/>
      <c r="Q160" s="531"/>
      <c r="R160" s="531"/>
      <c r="T160" s="532"/>
      <c r="U160" s="532"/>
    </row>
    <row r="161" ht="16.5" customHeight="1" spans="1:21">
      <c r="A161" s="223" t="s">
        <v>338</v>
      </c>
      <c r="B161" s="21" t="s">
        <v>95</v>
      </c>
      <c r="C161" s="22">
        <v>44943</v>
      </c>
      <c r="D161" s="21" t="s">
        <v>96</v>
      </c>
      <c r="E161" s="21" t="s">
        <v>103</v>
      </c>
      <c r="F161" s="23" t="s">
        <v>341</v>
      </c>
      <c r="G161" s="22">
        <v>45136</v>
      </c>
      <c r="H161" s="386">
        <v>21504</v>
      </c>
      <c r="I161" s="214" t="s">
        <v>340</v>
      </c>
      <c r="J161" s="25"/>
      <c r="K161" s="529"/>
      <c r="L161" s="530"/>
      <c r="M161" s="530"/>
      <c r="N161" s="530"/>
      <c r="O161" s="530"/>
      <c r="P161" s="530"/>
      <c r="Q161" s="531"/>
      <c r="R161" s="531"/>
      <c r="T161" s="532"/>
      <c r="U161" s="532"/>
    </row>
    <row r="162" ht="16.5" customHeight="1" spans="1:21">
      <c r="A162" s="223" t="s">
        <v>338</v>
      </c>
      <c r="B162" s="21" t="s">
        <v>95</v>
      </c>
      <c r="C162" s="22">
        <v>44943</v>
      </c>
      <c r="D162" s="21" t="s">
        <v>96</v>
      </c>
      <c r="E162" s="21" t="s">
        <v>103</v>
      </c>
      <c r="F162" s="23" t="s">
        <v>342</v>
      </c>
      <c r="G162" s="22">
        <v>45197</v>
      </c>
      <c r="H162" s="386">
        <v>21504</v>
      </c>
      <c r="I162" s="214" t="s">
        <v>340</v>
      </c>
      <c r="J162" s="25"/>
      <c r="K162" s="529"/>
      <c r="L162" s="530"/>
      <c r="M162" s="530"/>
      <c r="N162" s="530"/>
      <c r="O162" s="530"/>
      <c r="P162" s="530"/>
      <c r="Q162" s="531"/>
      <c r="R162" s="531"/>
      <c r="T162" s="532"/>
      <c r="U162" s="532"/>
    </row>
    <row r="163" ht="16.5" customHeight="1" spans="1:21">
      <c r="A163" s="223" t="s">
        <v>338</v>
      </c>
      <c r="B163" s="21" t="s">
        <v>95</v>
      </c>
      <c r="C163" s="22">
        <v>44943</v>
      </c>
      <c r="D163" s="21" t="s">
        <v>96</v>
      </c>
      <c r="E163" s="21" t="s">
        <v>103</v>
      </c>
      <c r="F163" s="23" t="s">
        <v>343</v>
      </c>
      <c r="G163" s="22">
        <v>45167</v>
      </c>
      <c r="H163" s="386">
        <v>21504</v>
      </c>
      <c r="I163" s="214" t="s">
        <v>340</v>
      </c>
      <c r="J163" s="25"/>
      <c r="K163" s="529"/>
      <c r="L163" s="530"/>
      <c r="M163" s="530"/>
      <c r="N163" s="530"/>
      <c r="O163" s="530"/>
      <c r="P163" s="530"/>
      <c r="Q163" s="531"/>
      <c r="R163" s="531"/>
      <c r="T163" s="532"/>
      <c r="U163" s="532"/>
    </row>
    <row r="164" ht="16.5" customHeight="1" spans="1:21">
      <c r="A164" s="223" t="s">
        <v>338</v>
      </c>
      <c r="B164" s="21" t="s">
        <v>95</v>
      </c>
      <c r="C164" s="22">
        <v>45002</v>
      </c>
      <c r="D164" s="21" t="s">
        <v>96</v>
      </c>
      <c r="E164" s="21" t="s">
        <v>103</v>
      </c>
      <c r="F164" s="23" t="s">
        <v>344</v>
      </c>
      <c r="G164" s="22">
        <v>45288</v>
      </c>
      <c r="H164" s="386">
        <v>18122</v>
      </c>
      <c r="I164" s="214" t="s">
        <v>98</v>
      </c>
      <c r="J164" s="25"/>
      <c r="K164" s="529"/>
      <c r="L164" s="530"/>
      <c r="M164" s="530"/>
      <c r="N164" s="530"/>
      <c r="O164" s="530"/>
      <c r="P164" s="530"/>
      <c r="Q164" s="531"/>
      <c r="R164" s="531"/>
      <c r="T164" s="532"/>
      <c r="U164" s="532"/>
    </row>
    <row r="165" ht="16.5" customHeight="1" spans="1:21">
      <c r="A165" s="223" t="s">
        <v>338</v>
      </c>
      <c r="B165" s="21" t="s">
        <v>95</v>
      </c>
      <c r="C165" s="22">
        <v>45002</v>
      </c>
      <c r="D165" s="21" t="s">
        <v>96</v>
      </c>
      <c r="E165" s="21" t="s">
        <v>103</v>
      </c>
      <c r="F165" s="23" t="s">
        <v>345</v>
      </c>
      <c r="G165" s="22">
        <v>45319</v>
      </c>
      <c r="H165" s="386">
        <v>18122</v>
      </c>
      <c r="I165" s="214" t="s">
        <v>346</v>
      </c>
      <c r="J165" s="25"/>
      <c r="K165" s="529"/>
      <c r="L165" s="530"/>
      <c r="M165" s="530"/>
      <c r="N165" s="530"/>
      <c r="O165" s="530"/>
      <c r="P165" s="530"/>
      <c r="Q165" s="531"/>
      <c r="R165" s="531"/>
      <c r="T165" s="532"/>
      <c r="U165" s="532"/>
    </row>
    <row r="166" ht="16.5" customHeight="1" spans="1:21">
      <c r="A166" s="223" t="s">
        <v>338</v>
      </c>
      <c r="B166" s="21" t="s">
        <v>95</v>
      </c>
      <c r="C166" s="22">
        <v>45002</v>
      </c>
      <c r="D166" s="21" t="s">
        <v>96</v>
      </c>
      <c r="E166" s="21" t="s">
        <v>103</v>
      </c>
      <c r="F166" s="23" t="s">
        <v>347</v>
      </c>
      <c r="G166" s="22">
        <v>45409</v>
      </c>
      <c r="H166" s="386">
        <v>18122</v>
      </c>
      <c r="I166" s="214" t="s">
        <v>98</v>
      </c>
      <c r="J166" s="25"/>
      <c r="K166" s="529"/>
      <c r="L166" s="530"/>
      <c r="M166" s="530"/>
      <c r="N166" s="530"/>
      <c r="O166" s="530"/>
      <c r="P166" s="530"/>
      <c r="Q166" s="531"/>
      <c r="R166" s="531"/>
      <c r="T166" s="532"/>
      <c r="U166" s="532"/>
    </row>
    <row r="167" ht="16.5" customHeight="1" spans="1:21">
      <c r="A167" s="223" t="s">
        <v>338</v>
      </c>
      <c r="B167" s="21" t="s">
        <v>95</v>
      </c>
      <c r="C167" s="22">
        <v>45002</v>
      </c>
      <c r="D167" s="21" t="s">
        <v>96</v>
      </c>
      <c r="E167" s="21" t="s">
        <v>103</v>
      </c>
      <c r="F167" s="23" t="s">
        <v>348</v>
      </c>
      <c r="G167" s="22">
        <v>45411</v>
      </c>
      <c r="H167" s="386">
        <v>18122</v>
      </c>
      <c r="I167" s="214" t="s">
        <v>98</v>
      </c>
      <c r="J167" s="25"/>
      <c r="K167" s="529"/>
      <c r="L167" s="530"/>
      <c r="M167" s="530"/>
      <c r="N167" s="530"/>
      <c r="O167" s="530"/>
      <c r="P167" s="530"/>
      <c r="Q167" s="531"/>
      <c r="R167" s="531"/>
      <c r="T167" s="532"/>
      <c r="U167" s="532"/>
    </row>
    <row r="168" ht="16.5" customHeight="1" spans="1:21">
      <c r="A168" s="223" t="s">
        <v>338</v>
      </c>
      <c r="B168" s="21" t="s">
        <v>95</v>
      </c>
      <c r="C168" s="22">
        <v>45002</v>
      </c>
      <c r="D168" s="21" t="s">
        <v>96</v>
      </c>
      <c r="E168" s="21" t="s">
        <v>103</v>
      </c>
      <c r="F168" s="23" t="s">
        <v>349</v>
      </c>
      <c r="G168" s="22">
        <v>45442</v>
      </c>
      <c r="H168" s="386">
        <v>18122</v>
      </c>
      <c r="I168" s="214" t="s">
        <v>98</v>
      </c>
      <c r="J168" s="25"/>
      <c r="K168" s="529"/>
      <c r="L168" s="530"/>
      <c r="M168" s="530"/>
      <c r="N168" s="530"/>
      <c r="O168" s="530"/>
      <c r="P168" s="530"/>
      <c r="Q168" s="531"/>
      <c r="R168" s="531"/>
      <c r="T168" s="532"/>
      <c r="U168" s="532"/>
    </row>
    <row r="169" ht="16.5" customHeight="1" spans="1:21">
      <c r="A169" s="223" t="s">
        <v>338</v>
      </c>
      <c r="B169" s="21" t="s">
        <v>95</v>
      </c>
      <c r="C169" s="22">
        <v>45368</v>
      </c>
      <c r="D169" s="21" t="s">
        <v>96</v>
      </c>
      <c r="E169" s="21" t="s">
        <v>103</v>
      </c>
      <c r="F169" s="23" t="s">
        <v>350</v>
      </c>
      <c r="G169" s="22">
        <v>45470</v>
      </c>
      <c r="H169" s="386">
        <v>18122</v>
      </c>
      <c r="I169" s="214" t="s">
        <v>98</v>
      </c>
      <c r="J169" s="25"/>
      <c r="K169" s="529"/>
      <c r="L169" s="530"/>
      <c r="M169" s="530"/>
      <c r="N169" s="530"/>
      <c r="O169" s="530"/>
      <c r="P169" s="530"/>
      <c r="Q169" s="531"/>
      <c r="R169" s="531"/>
      <c r="T169" s="532"/>
      <c r="U169" s="532"/>
    </row>
    <row r="170" ht="16.5" customHeight="1" spans="1:21">
      <c r="A170" s="223" t="s">
        <v>338</v>
      </c>
      <c r="B170" s="21" t="s">
        <v>95</v>
      </c>
      <c r="C170" s="22">
        <v>45368</v>
      </c>
      <c r="D170" s="21" t="s">
        <v>96</v>
      </c>
      <c r="E170" s="21" t="s">
        <v>103</v>
      </c>
      <c r="F170" s="23" t="s">
        <v>351</v>
      </c>
      <c r="G170" s="22">
        <v>45472</v>
      </c>
      <c r="H170" s="386">
        <v>18122</v>
      </c>
      <c r="I170" s="214" t="s">
        <v>98</v>
      </c>
      <c r="J170" s="25"/>
      <c r="K170" s="529"/>
      <c r="L170" s="530"/>
      <c r="M170" s="530"/>
      <c r="N170" s="530"/>
      <c r="O170" s="530"/>
      <c r="P170" s="530"/>
      <c r="Q170" s="531"/>
      <c r="R170" s="531"/>
      <c r="T170" s="532"/>
      <c r="U170" s="532"/>
    </row>
    <row r="171" ht="16.5" customHeight="1" spans="1:21">
      <c r="A171" s="64" t="s">
        <v>338</v>
      </c>
      <c r="B171" s="229" t="s">
        <v>95</v>
      </c>
      <c r="C171" s="295">
        <v>45002</v>
      </c>
      <c r="D171" s="229" t="s">
        <v>96</v>
      </c>
      <c r="E171" s="229" t="s">
        <v>103</v>
      </c>
      <c r="F171" s="89" t="s">
        <v>352</v>
      </c>
      <c r="G171" s="295">
        <v>45502</v>
      </c>
      <c r="H171" s="389">
        <v>18122</v>
      </c>
      <c r="I171" s="217" t="s">
        <v>99</v>
      </c>
      <c r="J171" s="25"/>
      <c r="K171" s="529"/>
      <c r="L171" s="530"/>
      <c r="M171" s="530"/>
      <c r="N171" s="530"/>
      <c r="O171" s="530"/>
      <c r="P171" s="530"/>
      <c r="Q171" s="531"/>
      <c r="R171" s="531"/>
      <c r="T171" s="532"/>
      <c r="U171" s="532"/>
    </row>
    <row r="172" ht="16.5" customHeight="1" spans="1:21">
      <c r="A172" s="19" t="s">
        <v>353</v>
      </c>
      <c r="H172" s="502">
        <f>SUM(H160:H171)</f>
        <v>234772</v>
      </c>
      <c r="J172" s="25"/>
      <c r="K172" s="529"/>
      <c r="L172" s="530"/>
      <c r="M172" s="530"/>
      <c r="N172" s="530"/>
      <c r="O172" s="530"/>
      <c r="P172" s="530"/>
      <c r="Q172" s="531"/>
      <c r="R172" s="531"/>
      <c r="T172" s="532"/>
      <c r="U172" s="532"/>
    </row>
    <row r="173" spans="1:21">
      <c r="A173" s="58" t="s">
        <v>354</v>
      </c>
      <c r="B173" s="228" t="s">
        <v>95</v>
      </c>
      <c r="C173" s="293">
        <v>44933</v>
      </c>
      <c r="D173" s="228" t="s">
        <v>114</v>
      </c>
      <c r="E173" s="228" t="s">
        <v>103</v>
      </c>
      <c r="F173" s="80" t="s">
        <v>355</v>
      </c>
      <c r="G173" s="293">
        <v>45226</v>
      </c>
      <c r="H173" s="383">
        <v>15019</v>
      </c>
      <c r="I173" s="212" t="s">
        <v>356</v>
      </c>
    </row>
    <row r="174" spans="1:21">
      <c r="A174" s="64" t="s">
        <v>357</v>
      </c>
      <c r="B174" s="229" t="s">
        <v>95</v>
      </c>
      <c r="C174" s="295" t="s">
        <v>358</v>
      </c>
      <c r="D174" s="229" t="s">
        <v>114</v>
      </c>
      <c r="E174" s="229" t="s">
        <v>103</v>
      </c>
      <c r="F174" s="89" t="s">
        <v>359</v>
      </c>
      <c r="G174" s="295">
        <v>45463</v>
      </c>
      <c r="H174" s="389">
        <v>41285</v>
      </c>
      <c r="I174" s="217" t="s">
        <v>98</v>
      </c>
    </row>
    <row r="175" spans="1:21">
      <c r="A175" s="19" t="s">
        <v>360</v>
      </c>
      <c r="H175" s="502">
        <f>SUM(H173:H174)</f>
        <v>56304</v>
      </c>
    </row>
    <row r="176" ht="21" customHeight="1" spans="1:21">
      <c r="A176" s="58" t="s">
        <v>361</v>
      </c>
      <c r="B176" s="228" t="s">
        <v>95</v>
      </c>
      <c r="C176" s="293">
        <v>45533</v>
      </c>
      <c r="D176" s="228" t="s">
        <v>114</v>
      </c>
      <c r="E176" s="228" t="s">
        <v>103</v>
      </c>
      <c r="F176" s="80" t="s">
        <v>362</v>
      </c>
      <c r="G176" s="293">
        <v>45493</v>
      </c>
      <c r="H176" s="383">
        <v>4500</v>
      </c>
      <c r="I176" s="212" t="s">
        <v>98</v>
      </c>
      <c r="J176" s="25"/>
      <c r="K176" s="529"/>
      <c r="L176" s="530"/>
      <c r="M176" s="530"/>
      <c r="N176" s="530"/>
      <c r="O176" s="530"/>
      <c r="P176" s="530"/>
      <c r="Q176" s="531"/>
      <c r="R176" s="531"/>
      <c r="T176" s="532"/>
      <c r="U176" s="532"/>
    </row>
    <row r="177" ht="21" customHeight="1" spans="1:21">
      <c r="A177" s="223" t="s">
        <v>363</v>
      </c>
      <c r="B177" s="21" t="s">
        <v>95</v>
      </c>
      <c r="C177" s="22">
        <v>45712</v>
      </c>
      <c r="D177" s="21" t="s">
        <v>114</v>
      </c>
      <c r="E177" s="21" t="s">
        <v>103</v>
      </c>
      <c r="F177" s="23" t="s">
        <v>364</v>
      </c>
      <c r="G177" s="22">
        <v>45777</v>
      </c>
      <c r="H177" s="386">
        <v>15000</v>
      </c>
      <c r="I177" s="214" t="s">
        <v>365</v>
      </c>
      <c r="J177" s="25"/>
      <c r="K177" s="529"/>
      <c r="L177" s="530"/>
      <c r="M177" s="530"/>
      <c r="N177" s="530"/>
      <c r="O177" s="530"/>
      <c r="P177" s="530"/>
      <c r="Q177" s="531"/>
      <c r="R177" s="531"/>
      <c r="T177" s="532"/>
      <c r="U177" s="532"/>
    </row>
    <row r="178" ht="21" customHeight="1" spans="1:21">
      <c r="A178" s="223" t="s">
        <v>366</v>
      </c>
      <c r="B178" s="21" t="s">
        <v>95</v>
      </c>
      <c r="C178" s="22">
        <v>45771</v>
      </c>
      <c r="D178" s="21" t="s">
        <v>114</v>
      </c>
      <c r="E178" s="21" t="s">
        <v>103</v>
      </c>
      <c r="F178" s="23" t="s">
        <v>367</v>
      </c>
      <c r="G178" s="22">
        <v>45888</v>
      </c>
      <c r="H178" s="386">
        <v>90000</v>
      </c>
      <c r="I178" s="214" t="s">
        <v>368</v>
      </c>
      <c r="J178" s="25"/>
      <c r="K178" s="529"/>
      <c r="L178" s="530"/>
      <c r="M178" s="530"/>
      <c r="N178" s="530"/>
      <c r="O178" s="530"/>
      <c r="P178" s="530"/>
      <c r="Q178" s="531"/>
      <c r="R178" s="531"/>
      <c r="T178" s="532"/>
      <c r="U178" s="532"/>
    </row>
    <row r="179" ht="21" customHeight="1" spans="1:21">
      <c r="A179" s="64" t="s">
        <v>366</v>
      </c>
      <c r="B179" s="229" t="s">
        <v>95</v>
      </c>
      <c r="C179" s="295">
        <v>45807</v>
      </c>
      <c r="D179" s="229" t="s">
        <v>114</v>
      </c>
      <c r="E179" s="229" t="s">
        <v>103</v>
      </c>
      <c r="F179" s="89" t="s">
        <v>369</v>
      </c>
      <c r="G179" s="295">
        <v>45895</v>
      </c>
      <c r="H179" s="389">
        <v>110000</v>
      </c>
      <c r="I179" s="217" t="s">
        <v>370</v>
      </c>
      <c r="J179" s="25"/>
      <c r="K179" s="529"/>
      <c r="L179" s="530"/>
      <c r="M179" s="530"/>
      <c r="N179" s="530"/>
      <c r="O179" s="530"/>
      <c r="P179" s="530"/>
      <c r="Q179" s="531"/>
      <c r="R179" s="531"/>
      <c r="T179" s="532"/>
      <c r="U179" s="532"/>
    </row>
    <row r="180" ht="21" customHeight="1" spans="1:21">
      <c r="A180" s="19" t="s">
        <v>371</v>
      </c>
      <c r="H180" s="502">
        <f>SUM(H176:H179)</f>
        <v>219500</v>
      </c>
      <c r="J180" s="25"/>
      <c r="K180" s="529"/>
      <c r="L180" s="530"/>
      <c r="M180" s="530"/>
      <c r="N180" s="530"/>
      <c r="O180" s="530"/>
      <c r="P180" s="530"/>
      <c r="Q180" s="531"/>
      <c r="R180" s="531"/>
      <c r="T180" s="532"/>
      <c r="U180" s="532"/>
    </row>
    <row r="181" ht="21" customHeight="1" spans="1:21">
      <c r="A181" s="58" t="s">
        <v>372</v>
      </c>
      <c r="B181" s="228" t="s">
        <v>95</v>
      </c>
      <c r="C181" s="293">
        <v>44840</v>
      </c>
      <c r="D181" s="228" t="s">
        <v>96</v>
      </c>
      <c r="E181" s="228" t="s">
        <v>192</v>
      </c>
      <c r="F181" s="80" t="s">
        <v>373</v>
      </c>
      <c r="G181" s="293">
        <v>45580</v>
      </c>
      <c r="H181" s="383">
        <v>58333.33</v>
      </c>
      <c r="I181" s="212" t="s">
        <v>98</v>
      </c>
      <c r="J181" s="25"/>
      <c r="K181" s="529"/>
      <c r="L181" s="530"/>
      <c r="M181" s="530"/>
      <c r="N181" s="530"/>
      <c r="O181" s="530"/>
      <c r="P181" s="530"/>
      <c r="Q181" s="531"/>
      <c r="R181" s="531"/>
      <c r="T181" s="532"/>
      <c r="U181" s="532"/>
    </row>
    <row r="182" ht="21" customHeight="1" spans="1:21">
      <c r="A182" s="223" t="s">
        <v>372</v>
      </c>
      <c r="B182" s="21" t="s">
        <v>95</v>
      </c>
      <c r="C182" s="22">
        <v>44840</v>
      </c>
      <c r="D182" s="21" t="s">
        <v>96</v>
      </c>
      <c r="E182" s="21" t="s">
        <v>192</v>
      </c>
      <c r="F182" s="23" t="s">
        <v>374</v>
      </c>
      <c r="G182" s="22">
        <v>45596</v>
      </c>
      <c r="H182" s="386">
        <v>58333.33</v>
      </c>
      <c r="I182" s="214" t="s">
        <v>98</v>
      </c>
      <c r="J182" s="25"/>
      <c r="K182" s="529"/>
      <c r="L182" s="530"/>
      <c r="M182" s="530"/>
      <c r="N182" s="530"/>
      <c r="O182" s="530"/>
      <c r="P182" s="530"/>
      <c r="Q182" s="531"/>
      <c r="R182" s="531"/>
      <c r="T182" s="532"/>
      <c r="U182" s="532"/>
    </row>
    <row r="183" ht="21" customHeight="1" spans="1:21">
      <c r="A183" s="223" t="s">
        <v>372</v>
      </c>
      <c r="B183" s="21" t="s">
        <v>95</v>
      </c>
      <c r="C183" s="22">
        <v>44840</v>
      </c>
      <c r="D183" s="21" t="s">
        <v>96</v>
      </c>
      <c r="E183" s="21" t="s">
        <v>192</v>
      </c>
      <c r="F183" s="23" t="s">
        <v>375</v>
      </c>
      <c r="G183" s="22">
        <v>45611</v>
      </c>
      <c r="H183" s="386">
        <v>58333.33</v>
      </c>
      <c r="I183" s="214" t="s">
        <v>98</v>
      </c>
      <c r="J183" s="25"/>
      <c r="K183" s="529"/>
      <c r="L183" s="530"/>
      <c r="M183" s="530"/>
      <c r="N183" s="530"/>
      <c r="O183" s="530"/>
      <c r="P183" s="530"/>
      <c r="Q183" s="531"/>
      <c r="R183" s="531"/>
      <c r="T183" s="532"/>
      <c r="U183" s="532"/>
    </row>
    <row r="184" ht="21" customHeight="1" spans="1:21">
      <c r="A184" s="223" t="s">
        <v>372</v>
      </c>
      <c r="B184" s="21" t="s">
        <v>95</v>
      </c>
      <c r="C184" s="22">
        <v>44840</v>
      </c>
      <c r="D184" s="21" t="s">
        <v>96</v>
      </c>
      <c r="E184" s="21" t="s">
        <v>192</v>
      </c>
      <c r="F184" s="23" t="s">
        <v>376</v>
      </c>
      <c r="G184" s="22">
        <v>45626</v>
      </c>
      <c r="H184" s="386">
        <v>58333.33</v>
      </c>
      <c r="I184" s="214" t="s">
        <v>98</v>
      </c>
      <c r="J184" s="25"/>
      <c r="K184" s="529"/>
      <c r="L184" s="530"/>
      <c r="M184" s="530"/>
      <c r="N184" s="530"/>
      <c r="O184" s="530"/>
      <c r="P184" s="530"/>
      <c r="Q184" s="531"/>
      <c r="R184" s="531"/>
      <c r="T184" s="532"/>
      <c r="U184" s="532"/>
    </row>
    <row r="185" ht="21" customHeight="1" spans="1:21">
      <c r="A185" s="223" t="s">
        <v>372</v>
      </c>
      <c r="B185" s="21" t="s">
        <v>95</v>
      </c>
      <c r="C185" s="22">
        <v>44840</v>
      </c>
      <c r="D185" s="21" t="s">
        <v>96</v>
      </c>
      <c r="E185" s="21" t="s">
        <v>192</v>
      </c>
      <c r="F185" s="23" t="s">
        <v>377</v>
      </c>
      <c r="G185" s="22">
        <v>45641</v>
      </c>
      <c r="H185" s="386">
        <v>58333.33</v>
      </c>
      <c r="I185" s="214" t="s">
        <v>98</v>
      </c>
      <c r="J185" s="25"/>
      <c r="K185" s="529"/>
      <c r="L185" s="530"/>
      <c r="M185" s="530"/>
      <c r="N185" s="530"/>
      <c r="O185" s="530"/>
      <c r="P185" s="530"/>
      <c r="Q185" s="531"/>
      <c r="R185" s="531"/>
      <c r="T185" s="532"/>
      <c r="U185" s="532"/>
    </row>
    <row r="186" ht="21" customHeight="1" spans="1:21">
      <c r="A186" s="64" t="s">
        <v>372</v>
      </c>
      <c r="B186" s="229" t="s">
        <v>95</v>
      </c>
      <c r="C186" s="295">
        <v>44840</v>
      </c>
      <c r="D186" s="229" t="s">
        <v>96</v>
      </c>
      <c r="E186" s="229" t="s">
        <v>192</v>
      </c>
      <c r="F186" s="89" t="s">
        <v>378</v>
      </c>
      <c r="G186" s="295">
        <v>45657</v>
      </c>
      <c r="H186" s="389">
        <v>58333.37</v>
      </c>
      <c r="I186" s="217" t="s">
        <v>98</v>
      </c>
      <c r="J186" s="25"/>
      <c r="K186" s="529"/>
      <c r="L186" s="530"/>
      <c r="M186" s="530"/>
      <c r="N186" s="530"/>
      <c r="O186" s="530"/>
      <c r="P186" s="530"/>
      <c r="Q186" s="531"/>
      <c r="R186" s="531"/>
      <c r="T186" s="532"/>
      <c r="U186" s="532"/>
    </row>
    <row r="187" ht="21" customHeight="1" spans="1:21">
      <c r="A187" s="19" t="s">
        <v>379</v>
      </c>
      <c r="H187" s="502">
        <f>SUM(H181:H186)</f>
        <v>350000.02</v>
      </c>
      <c r="J187" s="25"/>
      <c r="K187" s="529"/>
      <c r="L187" s="530"/>
      <c r="M187" s="530"/>
      <c r="N187" s="530"/>
      <c r="O187" s="530"/>
      <c r="P187" s="530"/>
      <c r="Q187" s="531"/>
      <c r="R187" s="531"/>
      <c r="T187" s="532"/>
      <c r="U187" s="532"/>
    </row>
    <row r="188" ht="17.25" customHeight="1" spans="1:21">
      <c r="A188" s="148" t="s">
        <v>380</v>
      </c>
      <c r="B188" s="149" t="s">
        <v>95</v>
      </c>
      <c r="C188" s="150">
        <v>45129</v>
      </c>
      <c r="D188" s="149" t="s">
        <v>96</v>
      </c>
      <c r="E188" s="149" t="s">
        <v>106</v>
      </c>
      <c r="F188" s="16" t="s">
        <v>381</v>
      </c>
      <c r="G188" s="150">
        <v>45199</v>
      </c>
      <c r="H188" s="528">
        <v>295</v>
      </c>
      <c r="I188" s="152" t="s">
        <v>382</v>
      </c>
      <c r="J188" s="25"/>
      <c r="K188" s="529"/>
      <c r="L188" s="530"/>
      <c r="M188" s="530"/>
      <c r="N188" s="530"/>
      <c r="O188" s="530"/>
      <c r="P188" s="530"/>
      <c r="Q188" s="531"/>
      <c r="R188" s="531"/>
      <c r="T188" s="532"/>
      <c r="U188" s="532"/>
    </row>
    <row r="189" ht="17.25" customHeight="1" spans="1:21">
      <c r="A189" s="19" t="s">
        <v>383</v>
      </c>
      <c r="H189" s="502">
        <f>SUM(H188:H188)</f>
        <v>295</v>
      </c>
      <c r="J189" s="25"/>
      <c r="K189" s="529"/>
      <c r="L189" s="530"/>
      <c r="M189" s="530"/>
      <c r="N189" s="530"/>
      <c r="O189" s="530"/>
      <c r="P189" s="530"/>
      <c r="Q189" s="531"/>
      <c r="R189" s="531"/>
      <c r="T189" s="532"/>
      <c r="U189" s="532"/>
    </row>
    <row r="190" ht="21" customHeight="1" spans="1:21">
      <c r="A190" s="148" t="s">
        <v>384</v>
      </c>
      <c r="B190" s="149" t="s">
        <v>95</v>
      </c>
      <c r="C190" s="150">
        <v>45876</v>
      </c>
      <c r="D190" s="149" t="s">
        <v>114</v>
      </c>
      <c r="E190" s="149" t="s">
        <v>185</v>
      </c>
      <c r="F190" s="16" t="s">
        <v>385</v>
      </c>
      <c r="G190" s="150">
        <v>45990</v>
      </c>
      <c r="H190" s="528">
        <v>27000</v>
      </c>
      <c r="I190" s="152" t="s">
        <v>386</v>
      </c>
      <c r="J190" s="25"/>
      <c r="K190" s="529"/>
      <c r="L190" s="530"/>
      <c r="M190" s="530"/>
      <c r="N190" s="530"/>
      <c r="O190" s="530"/>
      <c r="P190" s="530"/>
      <c r="Q190" s="531"/>
      <c r="R190" s="531"/>
      <c r="T190" s="532"/>
      <c r="U190" s="532"/>
    </row>
    <row r="191" ht="21" customHeight="1" spans="1:21">
      <c r="A191" s="19" t="s">
        <v>387</v>
      </c>
      <c r="H191" s="502">
        <f>SUM(H190:H190)</f>
        <v>27000</v>
      </c>
      <c r="J191" s="25"/>
      <c r="K191" s="529"/>
      <c r="L191" s="530"/>
      <c r="M191" s="530"/>
      <c r="N191" s="530"/>
      <c r="O191" s="530"/>
      <c r="P191" s="530"/>
      <c r="Q191" s="531"/>
      <c r="R191" s="531"/>
      <c r="T191" s="532"/>
      <c r="U191" s="532"/>
    </row>
    <row r="192" ht="21" customHeight="1" spans="1:21">
      <c r="A192" s="148" t="s">
        <v>388</v>
      </c>
      <c r="B192" s="149" t="s">
        <v>95</v>
      </c>
      <c r="C192" s="150">
        <v>45555</v>
      </c>
      <c r="D192" s="149" t="s">
        <v>114</v>
      </c>
      <c r="E192" s="149" t="s">
        <v>389</v>
      </c>
      <c r="F192" s="16" t="s">
        <v>390</v>
      </c>
      <c r="G192" s="150">
        <v>45638</v>
      </c>
      <c r="H192" s="528">
        <v>4696</v>
      </c>
      <c r="I192" s="152" t="s">
        <v>391</v>
      </c>
      <c r="J192" s="25"/>
      <c r="K192" s="529"/>
      <c r="L192" s="530"/>
      <c r="M192" s="530"/>
      <c r="N192" s="530"/>
      <c r="O192" s="530"/>
      <c r="P192" s="530"/>
      <c r="Q192" s="531"/>
      <c r="R192" s="531"/>
      <c r="T192" s="532"/>
      <c r="U192" s="532"/>
    </row>
    <row r="193" ht="21" customHeight="1" spans="1:21">
      <c r="A193" s="19" t="s">
        <v>392</v>
      </c>
      <c r="H193" s="502">
        <f>SUM(H192:H192)</f>
        <v>4696</v>
      </c>
      <c r="J193" s="25"/>
      <c r="K193" s="529"/>
      <c r="L193" s="530"/>
      <c r="M193" s="530"/>
      <c r="N193" s="530"/>
      <c r="O193" s="530"/>
      <c r="P193" s="530"/>
      <c r="Q193" s="531"/>
      <c r="R193" s="531"/>
      <c r="T193" s="532"/>
      <c r="U193" s="532"/>
    </row>
    <row r="194" ht="21" customHeight="1" spans="1:21">
      <c r="A194" s="58" t="s">
        <v>393</v>
      </c>
      <c r="B194" s="228" t="s">
        <v>95</v>
      </c>
      <c r="C194" s="293">
        <v>45574</v>
      </c>
      <c r="D194" s="228" t="s">
        <v>96</v>
      </c>
      <c r="E194" s="228" t="s">
        <v>103</v>
      </c>
      <c r="F194" s="80" t="s">
        <v>394</v>
      </c>
      <c r="G194" s="293">
        <v>45688</v>
      </c>
      <c r="H194" s="383">
        <v>139557.38</v>
      </c>
      <c r="I194" s="212" t="s">
        <v>98</v>
      </c>
      <c r="J194" s="25"/>
      <c r="K194" s="529"/>
      <c r="L194" s="530"/>
      <c r="M194" s="530"/>
      <c r="N194" s="530"/>
      <c r="O194" s="530"/>
      <c r="P194" s="530"/>
      <c r="Q194" s="531"/>
      <c r="R194" s="531"/>
      <c r="T194" s="532"/>
      <c r="U194" s="532"/>
    </row>
    <row r="195" ht="21" customHeight="1" spans="1:21">
      <c r="A195" s="223" t="s">
        <v>393</v>
      </c>
      <c r="B195" s="21" t="s">
        <v>95</v>
      </c>
      <c r="C195" s="22">
        <v>45587</v>
      </c>
      <c r="D195" s="21" t="s">
        <v>96</v>
      </c>
      <c r="E195" s="21" t="s">
        <v>103</v>
      </c>
      <c r="F195" s="23" t="s">
        <v>395</v>
      </c>
      <c r="G195" s="22">
        <v>45716</v>
      </c>
      <c r="H195" s="386">
        <v>243056</v>
      </c>
      <c r="I195" s="214" t="s">
        <v>98</v>
      </c>
      <c r="J195" s="25"/>
      <c r="K195" s="529"/>
      <c r="L195" s="530"/>
      <c r="M195" s="530"/>
      <c r="N195" s="530"/>
      <c r="O195" s="530"/>
      <c r="P195" s="530"/>
      <c r="Q195" s="531"/>
      <c r="R195" s="531"/>
      <c r="T195" s="532"/>
      <c r="U195" s="532"/>
    </row>
    <row r="196" ht="21" customHeight="1" spans="1:21">
      <c r="A196" s="223" t="s">
        <v>393</v>
      </c>
      <c r="B196" s="21" t="s">
        <v>95</v>
      </c>
      <c r="C196" s="22">
        <v>45587</v>
      </c>
      <c r="D196" s="21" t="s">
        <v>96</v>
      </c>
      <c r="E196" s="21" t="s">
        <v>103</v>
      </c>
      <c r="F196" s="23" t="s">
        <v>396</v>
      </c>
      <c r="G196" s="22">
        <v>45698</v>
      </c>
      <c r="H196" s="386">
        <v>154826</v>
      </c>
      <c r="I196" s="214" t="s">
        <v>98</v>
      </c>
      <c r="J196" s="25"/>
      <c r="K196" s="529"/>
      <c r="L196" s="530"/>
      <c r="M196" s="530"/>
      <c r="N196" s="530"/>
      <c r="O196" s="530"/>
      <c r="P196" s="530"/>
      <c r="Q196" s="531"/>
      <c r="R196" s="531"/>
      <c r="T196" s="532"/>
      <c r="U196" s="532"/>
    </row>
    <row r="197" ht="21" customHeight="1" spans="1:21">
      <c r="A197" s="223" t="s">
        <v>393</v>
      </c>
      <c r="B197" s="21" t="s">
        <v>95</v>
      </c>
      <c r="C197" s="22">
        <v>45855</v>
      </c>
      <c r="D197" s="533" t="s">
        <v>96</v>
      </c>
      <c r="E197" s="21" t="s">
        <v>106</v>
      </c>
      <c r="F197" s="23" t="s">
        <v>397</v>
      </c>
      <c r="G197" s="22">
        <v>45976</v>
      </c>
      <c r="H197" s="386">
        <v>263498.81</v>
      </c>
      <c r="I197" s="214" t="s">
        <v>98</v>
      </c>
      <c r="J197" s="25"/>
      <c r="K197" s="529"/>
      <c r="L197" s="530"/>
      <c r="M197" s="530"/>
      <c r="N197" s="530"/>
      <c r="O197" s="530"/>
      <c r="P197" s="530"/>
      <c r="Q197" s="531"/>
      <c r="R197" s="531"/>
      <c r="T197" s="532"/>
      <c r="U197" s="532"/>
    </row>
    <row r="198" ht="21" customHeight="1" spans="1:21">
      <c r="A198" s="223" t="s">
        <v>393</v>
      </c>
      <c r="B198" s="21" t="s">
        <v>95</v>
      </c>
      <c r="C198" s="22">
        <v>45943</v>
      </c>
      <c r="D198" s="533" t="s">
        <v>96</v>
      </c>
      <c r="E198" s="21" t="s">
        <v>103</v>
      </c>
      <c r="F198" s="23" t="s">
        <v>398</v>
      </c>
      <c r="G198" s="22">
        <v>46081</v>
      </c>
      <c r="H198" s="386">
        <v>141120</v>
      </c>
      <c r="I198" s="214" t="s">
        <v>98</v>
      </c>
      <c r="J198" s="25"/>
      <c r="K198" s="529"/>
      <c r="L198" s="530"/>
      <c r="M198" s="530"/>
      <c r="N198" s="530"/>
      <c r="O198" s="530"/>
      <c r="P198" s="530"/>
      <c r="Q198" s="531"/>
      <c r="R198" s="531"/>
      <c r="T198" s="532"/>
      <c r="U198" s="532"/>
    </row>
    <row r="199" ht="21" customHeight="1" spans="1:21">
      <c r="A199" s="64" t="s">
        <v>393</v>
      </c>
      <c r="B199" s="229" t="s">
        <v>95</v>
      </c>
      <c r="C199" s="295">
        <v>46059</v>
      </c>
      <c r="D199" s="534" t="s">
        <v>96</v>
      </c>
      <c r="E199" s="229" t="s">
        <v>103</v>
      </c>
      <c r="F199" s="89" t="s">
        <v>399</v>
      </c>
      <c r="G199" s="295">
        <v>46173</v>
      </c>
      <c r="H199" s="389">
        <v>176212</v>
      </c>
      <c r="I199" s="217" t="s">
        <v>98</v>
      </c>
      <c r="J199" s="25"/>
      <c r="K199" s="529"/>
      <c r="L199" s="530"/>
      <c r="M199" s="530"/>
      <c r="N199" s="530"/>
      <c r="O199" s="530"/>
      <c r="P199" s="530"/>
      <c r="Q199" s="531"/>
      <c r="R199" s="531"/>
      <c r="T199" s="532"/>
      <c r="U199" s="532"/>
    </row>
    <row r="200" ht="21" customHeight="1" spans="1:21">
      <c r="A200" s="19" t="s">
        <v>400</v>
      </c>
      <c r="H200" s="502">
        <f>SUM(H194:H199)</f>
        <v>1118270.19</v>
      </c>
      <c r="J200" s="25"/>
      <c r="K200" s="529"/>
      <c r="L200" s="530"/>
      <c r="M200" s="530"/>
      <c r="N200" s="530"/>
      <c r="O200" s="530"/>
      <c r="P200" s="530"/>
      <c r="Q200" s="531"/>
      <c r="R200" s="531"/>
      <c r="T200" s="532"/>
      <c r="U200" s="532"/>
    </row>
    <row r="201" ht="21" customHeight="1" spans="1:21">
      <c r="A201" s="148" t="s">
        <v>401</v>
      </c>
      <c r="B201" s="149" t="s">
        <v>95</v>
      </c>
      <c r="C201" s="150">
        <v>45450</v>
      </c>
      <c r="D201" s="149" t="s">
        <v>96</v>
      </c>
      <c r="E201" s="149" t="s">
        <v>119</v>
      </c>
      <c r="F201" s="16" t="s">
        <v>402</v>
      </c>
      <c r="G201" s="150">
        <v>45593</v>
      </c>
      <c r="H201" s="528">
        <v>35280</v>
      </c>
      <c r="I201" s="152" t="s">
        <v>98</v>
      </c>
      <c r="J201" s="25"/>
      <c r="K201" s="529"/>
      <c r="L201" s="530"/>
      <c r="M201" s="530"/>
      <c r="N201" s="530"/>
      <c r="O201" s="530"/>
      <c r="P201" s="530"/>
      <c r="Q201" s="531"/>
      <c r="R201" s="531"/>
      <c r="T201" s="532"/>
      <c r="U201" s="532"/>
    </row>
    <row r="202" ht="21" customHeight="1" spans="1:21">
      <c r="A202" s="19" t="s">
        <v>403</v>
      </c>
      <c r="H202" s="502">
        <f>SUM(H201:H201)</f>
        <v>35280</v>
      </c>
      <c r="J202" s="25"/>
      <c r="K202" s="529"/>
      <c r="L202" s="530"/>
      <c r="M202" s="530"/>
      <c r="N202" s="530"/>
      <c r="O202" s="530"/>
      <c r="P202" s="530"/>
      <c r="Q202" s="531"/>
      <c r="R202" s="531"/>
      <c r="T202" s="532"/>
      <c r="U202" s="532"/>
    </row>
    <row r="203" ht="21" customHeight="1" spans="1:21">
      <c r="A203" s="148" t="s">
        <v>404</v>
      </c>
      <c r="B203" s="149" t="s">
        <v>95</v>
      </c>
      <c r="C203" s="150">
        <v>45783</v>
      </c>
      <c r="D203" s="149" t="s">
        <v>114</v>
      </c>
      <c r="E203" s="149" t="s">
        <v>103</v>
      </c>
      <c r="F203" s="16" t="s">
        <v>405</v>
      </c>
      <c r="G203" s="150">
        <v>45947</v>
      </c>
      <c r="H203" s="528">
        <v>6000</v>
      </c>
      <c r="I203" s="152" t="s">
        <v>406</v>
      </c>
      <c r="J203" s="25"/>
      <c r="K203" s="529"/>
      <c r="L203" s="530"/>
      <c r="M203" s="530"/>
      <c r="N203" s="530"/>
      <c r="O203" s="530"/>
      <c r="P203" s="530"/>
      <c r="Q203" s="531"/>
      <c r="R203" s="531"/>
      <c r="T203" s="532"/>
      <c r="U203" s="532"/>
    </row>
    <row r="204" ht="21" customHeight="1" spans="1:21">
      <c r="A204" s="19" t="s">
        <v>407</v>
      </c>
      <c r="H204" s="502">
        <f>SUM(H203:H203)</f>
        <v>6000</v>
      </c>
      <c r="J204" s="25"/>
      <c r="K204" s="529"/>
      <c r="L204" s="530"/>
      <c r="M204" s="530"/>
      <c r="N204" s="530"/>
      <c r="O204" s="530"/>
      <c r="P204" s="530"/>
      <c r="Q204" s="531"/>
      <c r="R204" s="531"/>
      <c r="T204" s="532"/>
      <c r="U204" s="532"/>
    </row>
    <row r="205" ht="21" customHeight="1" spans="1:21">
      <c r="A205" s="207" t="s">
        <v>408</v>
      </c>
      <c r="B205" s="149" t="s">
        <v>95</v>
      </c>
      <c r="C205" s="150">
        <v>45670</v>
      </c>
      <c r="D205" s="149" t="s">
        <v>96</v>
      </c>
      <c r="E205" s="149" t="s">
        <v>106</v>
      </c>
      <c r="F205" s="16" t="s">
        <v>409</v>
      </c>
      <c r="G205" s="150">
        <v>45746</v>
      </c>
      <c r="H205" s="208">
        <v>15500</v>
      </c>
      <c r="I205" s="152" t="s">
        <v>410</v>
      </c>
      <c r="J205" s="25"/>
      <c r="K205" s="529"/>
      <c r="L205" s="530"/>
      <c r="M205" s="530"/>
      <c r="N205" s="530"/>
      <c r="O205" s="530"/>
      <c r="P205" s="530"/>
      <c r="Q205" s="531"/>
      <c r="R205" s="531"/>
      <c r="T205" s="532"/>
      <c r="U205" s="532"/>
    </row>
    <row r="206" ht="21" customHeight="1" spans="1:21">
      <c r="A206" s="148" t="s">
        <v>411</v>
      </c>
      <c r="B206" s="149" t="s">
        <v>95</v>
      </c>
      <c r="C206" s="150">
        <v>45596</v>
      </c>
      <c r="D206" s="149" t="s">
        <v>114</v>
      </c>
      <c r="E206" s="149" t="s">
        <v>97</v>
      </c>
      <c r="F206" s="16" t="s">
        <v>412</v>
      </c>
      <c r="G206" s="150">
        <v>45777</v>
      </c>
      <c r="H206" s="528">
        <v>70790</v>
      </c>
      <c r="I206" s="152" t="s">
        <v>98</v>
      </c>
      <c r="J206" s="25"/>
      <c r="K206" s="529"/>
      <c r="L206" s="530"/>
      <c r="M206" s="530"/>
      <c r="N206" s="530"/>
      <c r="O206" s="530"/>
      <c r="P206" s="530"/>
      <c r="Q206" s="531"/>
      <c r="R206" s="531"/>
      <c r="T206" s="532"/>
      <c r="U206" s="532"/>
    </row>
    <row r="207" ht="21" customHeight="1" spans="1:21">
      <c r="A207" s="19" t="s">
        <v>413</v>
      </c>
      <c r="H207" s="502">
        <f>SUM(H206:H206)</f>
        <v>70790</v>
      </c>
      <c r="J207" s="25"/>
      <c r="K207" s="529"/>
      <c r="L207" s="530"/>
      <c r="M207" s="530"/>
      <c r="N207" s="530"/>
      <c r="O207" s="530"/>
      <c r="P207" s="530"/>
      <c r="Q207" s="531"/>
      <c r="R207" s="531"/>
      <c r="T207" s="532"/>
      <c r="U207" s="532"/>
    </row>
    <row r="208" ht="21" customHeight="1" spans="1:21">
      <c r="A208" s="58" t="s">
        <v>414</v>
      </c>
      <c r="B208" s="228" t="s">
        <v>95</v>
      </c>
      <c r="C208" s="293">
        <v>45672</v>
      </c>
      <c r="D208" s="228" t="s">
        <v>114</v>
      </c>
      <c r="E208" s="228" t="s">
        <v>106</v>
      </c>
      <c r="F208" s="80" t="s">
        <v>415</v>
      </c>
      <c r="G208" s="293">
        <v>45828</v>
      </c>
      <c r="H208" s="383">
        <v>20000</v>
      </c>
      <c r="I208" s="212" t="s">
        <v>416</v>
      </c>
      <c r="J208" s="25"/>
      <c r="K208" s="529"/>
      <c r="L208" s="530"/>
      <c r="M208" s="530"/>
      <c r="N208" s="530"/>
      <c r="O208" s="530"/>
      <c r="P208" s="530"/>
      <c r="Q208" s="531"/>
      <c r="R208" s="531"/>
      <c r="T208" s="532"/>
      <c r="U208" s="532"/>
    </row>
    <row r="209" ht="21" customHeight="1" spans="1:21">
      <c r="A209" s="64" t="s">
        <v>414</v>
      </c>
      <c r="B209" s="229" t="s">
        <v>95</v>
      </c>
      <c r="C209" s="295">
        <v>45672</v>
      </c>
      <c r="D209" s="229" t="s">
        <v>114</v>
      </c>
      <c r="E209" s="229" t="s">
        <v>106</v>
      </c>
      <c r="F209" s="89" t="s">
        <v>417</v>
      </c>
      <c r="G209" s="295">
        <v>45993</v>
      </c>
      <c r="H209" s="389">
        <v>55000</v>
      </c>
      <c r="I209" s="217" t="s">
        <v>418</v>
      </c>
      <c r="J209" s="25"/>
      <c r="K209" s="529"/>
      <c r="L209" s="530"/>
      <c r="M209" s="530"/>
      <c r="N209" s="530"/>
      <c r="O209" s="530"/>
      <c r="P209" s="530"/>
      <c r="Q209" s="531"/>
      <c r="R209" s="531"/>
      <c r="T209" s="532"/>
      <c r="U209" s="532"/>
    </row>
    <row r="210" ht="21" customHeight="1" spans="1:21">
      <c r="A210" s="227" t="s">
        <v>414</v>
      </c>
      <c r="H210" s="502">
        <f>SUM(H208:H209)</f>
        <v>75000</v>
      </c>
      <c r="I210" s="214"/>
      <c r="J210" s="25"/>
      <c r="K210" s="529"/>
      <c r="L210" s="530"/>
      <c r="M210" s="530"/>
      <c r="N210" s="530"/>
      <c r="O210" s="530"/>
      <c r="P210" s="530"/>
      <c r="Q210" s="531"/>
      <c r="R210" s="531"/>
      <c r="T210" s="532"/>
      <c r="U210" s="532"/>
    </row>
    <row r="211" spans="1:21">
      <c r="A211" s="58" t="s">
        <v>419</v>
      </c>
      <c r="B211" s="228" t="s">
        <v>95</v>
      </c>
      <c r="C211" s="293">
        <v>45978</v>
      </c>
      <c r="D211" s="228" t="s">
        <v>96</v>
      </c>
      <c r="E211" s="228" t="s">
        <v>103</v>
      </c>
      <c r="F211" s="80" t="s">
        <v>420</v>
      </c>
      <c r="G211" s="293">
        <v>46101</v>
      </c>
      <c r="H211" s="500">
        <v>41268.61</v>
      </c>
      <c r="I211" s="212" t="s">
        <v>98</v>
      </c>
    </row>
    <row r="212" spans="1:21">
      <c r="A212" s="223" t="s">
        <v>419</v>
      </c>
      <c r="B212" s="21" t="s">
        <v>95</v>
      </c>
      <c r="C212" s="22">
        <v>45978</v>
      </c>
      <c r="D212" s="21" t="s">
        <v>96</v>
      </c>
      <c r="E212" s="21" t="s">
        <v>103</v>
      </c>
      <c r="F212" s="23" t="s">
        <v>421</v>
      </c>
      <c r="G212" s="22">
        <v>46130</v>
      </c>
      <c r="H212" s="494">
        <v>41268.6</v>
      </c>
      <c r="I212" s="214" t="s">
        <v>98</v>
      </c>
    </row>
    <row r="213" spans="1:21">
      <c r="A213" s="64" t="s">
        <v>419</v>
      </c>
      <c r="B213" s="229" t="s">
        <v>95</v>
      </c>
      <c r="C213" s="295">
        <v>45978</v>
      </c>
      <c r="D213" s="229" t="s">
        <v>96</v>
      </c>
      <c r="E213" s="229" t="s">
        <v>103</v>
      </c>
      <c r="F213" s="89" t="s">
        <v>422</v>
      </c>
      <c r="G213" s="295">
        <v>46162</v>
      </c>
      <c r="H213" s="501">
        <v>41268.6</v>
      </c>
      <c r="I213" s="217" t="s">
        <v>98</v>
      </c>
    </row>
    <row r="214" spans="1:21">
      <c r="A214" s="19" t="s">
        <v>423</v>
      </c>
      <c r="H214" s="502">
        <f>SUM(H211:H213)</f>
        <v>123805.81</v>
      </c>
    </row>
    <row r="215" ht="17.25" customHeight="1" spans="1:21">
      <c r="A215" s="413" t="s">
        <v>424</v>
      </c>
      <c r="B215" s="149" t="s">
        <v>95</v>
      </c>
      <c r="C215" s="150">
        <v>45847</v>
      </c>
      <c r="D215" s="149" t="s">
        <v>114</v>
      </c>
      <c r="E215" s="149" t="s">
        <v>192</v>
      </c>
      <c r="F215" s="16" t="s">
        <v>425</v>
      </c>
      <c r="G215" s="150">
        <v>45960</v>
      </c>
      <c r="H215" s="528">
        <v>4000</v>
      </c>
      <c r="I215" s="152" t="s">
        <v>426</v>
      </c>
    </row>
    <row r="216" ht="17.25" customHeight="1" spans="1:21">
      <c r="A216" s="19" t="s">
        <v>427</v>
      </c>
      <c r="H216" s="502">
        <f>SUM(H215:H215)</f>
        <v>4000</v>
      </c>
    </row>
    <row r="217" spans="1:21">
      <c r="A217" s="58" t="s">
        <v>428</v>
      </c>
      <c r="B217" s="59" t="s">
        <v>95</v>
      </c>
      <c r="C217" s="60">
        <v>46003</v>
      </c>
      <c r="D217" s="59" t="s">
        <v>114</v>
      </c>
      <c r="E217" s="59" t="s">
        <v>103</v>
      </c>
      <c r="F217" s="61" t="s">
        <v>429</v>
      </c>
      <c r="G217" s="60">
        <v>46111</v>
      </c>
      <c r="H217" s="383">
        <v>22410</v>
      </c>
      <c r="I217" s="63" t="s">
        <v>430</v>
      </c>
    </row>
    <row r="218" spans="1:21">
      <c r="A218" s="223" t="s">
        <v>431</v>
      </c>
      <c r="B218" s="352" t="s">
        <v>95</v>
      </c>
      <c r="C218" s="353">
        <v>46038</v>
      </c>
      <c r="D218" s="352" t="s">
        <v>96</v>
      </c>
      <c r="E218" s="352" t="s">
        <v>106</v>
      </c>
      <c r="F218" s="109" t="s">
        <v>432</v>
      </c>
      <c r="G218" s="353">
        <v>46117</v>
      </c>
      <c r="H218" s="386">
        <v>15000</v>
      </c>
      <c r="I218" s="354" t="s">
        <v>433</v>
      </c>
    </row>
    <row r="219" spans="1:21">
      <c r="A219" s="64" t="s">
        <v>434</v>
      </c>
      <c r="B219" s="65" t="s">
        <v>95</v>
      </c>
      <c r="C219" s="66">
        <v>46003</v>
      </c>
      <c r="D219" s="65" t="s">
        <v>114</v>
      </c>
      <c r="E219" s="65" t="s">
        <v>103</v>
      </c>
      <c r="F219" s="67" t="s">
        <v>435</v>
      </c>
      <c r="G219" s="66">
        <v>46142</v>
      </c>
      <c r="H219" s="389">
        <v>44500</v>
      </c>
      <c r="I219" s="69" t="s">
        <v>436</v>
      </c>
    </row>
    <row r="220" spans="1:21">
      <c r="A220" s="19" t="s">
        <v>437</v>
      </c>
      <c r="H220" s="502">
        <f>SUM(H217:H219)</f>
        <v>81910</v>
      </c>
    </row>
    <row r="221" spans="1:21">
      <c r="A221" s="58" t="s">
        <v>438</v>
      </c>
      <c r="B221" s="59" t="s">
        <v>95</v>
      </c>
      <c r="C221" s="60">
        <v>45796</v>
      </c>
      <c r="D221" s="59" t="s">
        <v>96</v>
      </c>
      <c r="E221" s="59" t="s">
        <v>103</v>
      </c>
      <c r="F221" s="61" t="s">
        <v>439</v>
      </c>
      <c r="G221" s="60">
        <v>45919</v>
      </c>
      <c r="H221" s="383">
        <v>29264.03</v>
      </c>
      <c r="I221" s="63" t="s">
        <v>440</v>
      </c>
    </row>
    <row r="222" spans="1:21">
      <c r="A222" s="223" t="s">
        <v>438</v>
      </c>
      <c r="B222" s="352" t="s">
        <v>95</v>
      </c>
      <c r="C222" s="353">
        <v>45798</v>
      </c>
      <c r="D222" s="352" t="s">
        <v>96</v>
      </c>
      <c r="E222" s="352" t="s">
        <v>103</v>
      </c>
      <c r="F222" s="109" t="s">
        <v>441</v>
      </c>
      <c r="G222" s="353">
        <v>45920</v>
      </c>
      <c r="H222" s="386">
        <v>40000</v>
      </c>
      <c r="I222" s="354" t="s">
        <v>442</v>
      </c>
    </row>
    <row r="223" spans="1:21">
      <c r="A223" s="223" t="s">
        <v>438</v>
      </c>
      <c r="B223" s="352" t="s">
        <v>95</v>
      </c>
      <c r="C223" s="353">
        <v>45798</v>
      </c>
      <c r="D223" s="352" t="s">
        <v>96</v>
      </c>
      <c r="E223" s="352" t="s">
        <v>103</v>
      </c>
      <c r="F223" s="109" t="s">
        <v>443</v>
      </c>
      <c r="G223" s="353">
        <v>45921</v>
      </c>
      <c r="H223" s="386">
        <v>5351.49</v>
      </c>
      <c r="I223" s="354" t="s">
        <v>444</v>
      </c>
    </row>
    <row r="224" spans="1:21">
      <c r="A224" s="223" t="s">
        <v>438</v>
      </c>
      <c r="B224" s="352" t="s">
        <v>95</v>
      </c>
      <c r="C224" s="353">
        <v>45845</v>
      </c>
      <c r="D224" s="352" t="s">
        <v>96</v>
      </c>
      <c r="E224" s="352" t="s">
        <v>103</v>
      </c>
      <c r="F224" s="109" t="s">
        <v>445</v>
      </c>
      <c r="G224" s="353">
        <v>45960</v>
      </c>
      <c r="H224" s="386">
        <v>46455</v>
      </c>
      <c r="I224" s="354" t="s">
        <v>98</v>
      </c>
    </row>
    <row r="225" spans="1:9">
      <c r="A225" s="223" t="s">
        <v>438</v>
      </c>
      <c r="B225" s="352" t="s">
        <v>95</v>
      </c>
      <c r="C225" s="353">
        <v>45841</v>
      </c>
      <c r="D225" s="352" t="s">
        <v>96</v>
      </c>
      <c r="E225" s="352" t="s">
        <v>103</v>
      </c>
      <c r="F225" s="109" t="s">
        <v>446</v>
      </c>
      <c r="G225" s="353">
        <v>45964</v>
      </c>
      <c r="H225" s="386">
        <v>9987.6</v>
      </c>
      <c r="I225" s="354" t="s">
        <v>98</v>
      </c>
    </row>
    <row r="226" spans="1:9">
      <c r="A226" s="223" t="s">
        <v>438</v>
      </c>
      <c r="B226" s="352" t="s">
        <v>95</v>
      </c>
      <c r="C226" s="353">
        <v>45845</v>
      </c>
      <c r="D226" s="352" t="s">
        <v>96</v>
      </c>
      <c r="E226" s="352" t="s">
        <v>103</v>
      </c>
      <c r="F226" s="109" t="s">
        <v>447</v>
      </c>
      <c r="G226" s="353">
        <v>45968</v>
      </c>
      <c r="H226" s="386">
        <v>32550</v>
      </c>
      <c r="I226" s="354" t="s">
        <v>98</v>
      </c>
    </row>
    <row r="227" spans="1:9">
      <c r="A227" s="223" t="s">
        <v>438</v>
      </c>
      <c r="B227" s="352" t="s">
        <v>95</v>
      </c>
      <c r="C227" s="353">
        <v>45853</v>
      </c>
      <c r="D227" s="352" t="s">
        <v>96</v>
      </c>
      <c r="E227" s="352" t="s">
        <v>103</v>
      </c>
      <c r="F227" s="109" t="s">
        <v>448</v>
      </c>
      <c r="G227" s="353">
        <v>45976</v>
      </c>
      <c r="H227" s="386">
        <v>42864.18</v>
      </c>
      <c r="I227" s="354" t="s">
        <v>99</v>
      </c>
    </row>
    <row r="228" spans="1:9">
      <c r="A228" s="64" t="s">
        <v>438</v>
      </c>
      <c r="B228" s="65" t="s">
        <v>95</v>
      </c>
      <c r="C228" s="66">
        <v>45798</v>
      </c>
      <c r="D228" s="65" t="s">
        <v>114</v>
      </c>
      <c r="E228" s="65" t="s">
        <v>119</v>
      </c>
      <c r="F228" s="67" t="s">
        <v>449</v>
      </c>
      <c r="G228" s="66">
        <v>46097</v>
      </c>
      <c r="H228" s="389">
        <v>30000</v>
      </c>
      <c r="I228" s="69" t="s">
        <v>98</v>
      </c>
    </row>
    <row r="229" spans="1:9">
      <c r="A229" s="19" t="s">
        <v>450</v>
      </c>
      <c r="H229" s="502">
        <f>SUM(H221:H228)</f>
        <v>236472.3</v>
      </c>
    </row>
    <row r="230" spans="1:9">
      <c r="A230" s="210" t="s">
        <v>451</v>
      </c>
      <c r="B230" s="228" t="s">
        <v>95</v>
      </c>
      <c r="C230" s="293">
        <v>45853</v>
      </c>
      <c r="D230" s="228" t="s">
        <v>96</v>
      </c>
      <c r="E230" s="228" t="s">
        <v>185</v>
      </c>
      <c r="F230" s="80" t="s">
        <v>452</v>
      </c>
      <c r="G230" s="293">
        <v>45960</v>
      </c>
      <c r="H230" s="500">
        <v>42943</v>
      </c>
      <c r="I230" s="212" t="s">
        <v>453</v>
      </c>
    </row>
    <row r="231" spans="1:9">
      <c r="A231" s="215" t="s">
        <v>451</v>
      </c>
      <c r="B231" s="229" t="s">
        <v>95</v>
      </c>
      <c r="C231" s="295">
        <v>45853</v>
      </c>
      <c r="D231" s="229" t="s">
        <v>96</v>
      </c>
      <c r="E231" s="229" t="s">
        <v>185</v>
      </c>
      <c r="F231" s="89" t="s">
        <v>454</v>
      </c>
      <c r="G231" s="295">
        <v>45976</v>
      </c>
      <c r="H231" s="501">
        <v>30000</v>
      </c>
      <c r="I231" s="217" t="s">
        <v>455</v>
      </c>
    </row>
    <row r="232" spans="1:9">
      <c r="A232" s="19" t="s">
        <v>456</v>
      </c>
      <c r="H232" s="502">
        <f>SUM(H230:H231)</f>
        <v>72943</v>
      </c>
    </row>
    <row r="233" spans="1:9">
      <c r="A233" s="58" t="s">
        <v>457</v>
      </c>
      <c r="B233" s="228" t="s">
        <v>95</v>
      </c>
      <c r="C233" s="293">
        <v>45932</v>
      </c>
      <c r="D233" s="228" t="s">
        <v>96</v>
      </c>
      <c r="E233" s="228" t="s">
        <v>103</v>
      </c>
      <c r="F233" s="80" t="s">
        <v>458</v>
      </c>
      <c r="G233" s="293">
        <v>46078</v>
      </c>
      <c r="H233" s="383">
        <v>25109.82</v>
      </c>
      <c r="I233" s="212" t="s">
        <v>459</v>
      </c>
    </row>
    <row r="234" spans="1:9">
      <c r="A234" s="223" t="s">
        <v>457</v>
      </c>
      <c r="B234" s="21" t="s">
        <v>95</v>
      </c>
      <c r="C234" s="22">
        <v>45986</v>
      </c>
      <c r="D234" s="21" t="s">
        <v>96</v>
      </c>
      <c r="E234" s="21" t="s">
        <v>103</v>
      </c>
      <c r="F234" s="23" t="s">
        <v>460</v>
      </c>
      <c r="G234" s="22">
        <v>46111</v>
      </c>
      <c r="H234" s="386">
        <v>162052.8</v>
      </c>
      <c r="I234" s="214" t="s">
        <v>461</v>
      </c>
    </row>
    <row r="235" spans="1:9">
      <c r="A235" s="223" t="s">
        <v>457</v>
      </c>
      <c r="B235" s="21" t="s">
        <v>95</v>
      </c>
      <c r="C235" s="22">
        <v>46015</v>
      </c>
      <c r="D235" s="21" t="s">
        <v>96</v>
      </c>
      <c r="E235" s="21" t="s">
        <v>103</v>
      </c>
      <c r="F235" s="23" t="s">
        <v>462</v>
      </c>
      <c r="G235" s="22">
        <v>46137</v>
      </c>
      <c r="H235" s="386">
        <v>125815.68</v>
      </c>
      <c r="I235" s="214" t="s">
        <v>98</v>
      </c>
    </row>
    <row r="236" spans="1:9">
      <c r="A236" s="223" t="s">
        <v>457</v>
      </c>
      <c r="B236" s="21" t="s">
        <v>95</v>
      </c>
      <c r="C236" s="22">
        <v>46031</v>
      </c>
      <c r="D236" s="21" t="s">
        <v>96</v>
      </c>
      <c r="E236" s="21" t="s">
        <v>103</v>
      </c>
      <c r="F236" s="23" t="s">
        <v>463</v>
      </c>
      <c r="G236" s="22">
        <v>46172</v>
      </c>
      <c r="H236" s="386">
        <v>72360</v>
      </c>
      <c r="I236" s="214" t="s">
        <v>98</v>
      </c>
    </row>
    <row r="237" spans="1:9">
      <c r="A237" s="223" t="s">
        <v>457</v>
      </c>
      <c r="B237" s="21" t="s">
        <v>95</v>
      </c>
      <c r="C237" s="22">
        <v>46067</v>
      </c>
      <c r="D237" s="21" t="s">
        <v>96</v>
      </c>
      <c r="E237" s="21" t="s">
        <v>103</v>
      </c>
      <c r="F237" s="23" t="s">
        <v>464</v>
      </c>
      <c r="G237" s="22">
        <v>46181</v>
      </c>
      <c r="H237" s="386">
        <v>80728</v>
      </c>
      <c r="I237" s="214" t="s">
        <v>98</v>
      </c>
    </row>
    <row r="238" spans="1:9">
      <c r="A238" s="64" t="s">
        <v>457</v>
      </c>
      <c r="B238" s="229" t="s">
        <v>95</v>
      </c>
      <c r="C238" s="295">
        <v>46067</v>
      </c>
      <c r="D238" s="229" t="s">
        <v>96</v>
      </c>
      <c r="E238" s="229" t="s">
        <v>103</v>
      </c>
      <c r="F238" s="89" t="s">
        <v>465</v>
      </c>
      <c r="G238" s="295">
        <v>46189</v>
      </c>
      <c r="H238" s="389">
        <v>80728</v>
      </c>
      <c r="I238" s="217" t="s">
        <v>98</v>
      </c>
    </row>
    <row r="239" spans="1:9">
      <c r="A239" s="19" t="s">
        <v>466</v>
      </c>
      <c r="H239" s="502">
        <f>SUM(H233:H238)</f>
        <v>546794.3</v>
      </c>
    </row>
    <row r="240" spans="1:9">
      <c r="A240" s="58" t="s">
        <v>467</v>
      </c>
      <c r="B240" s="228" t="s">
        <v>95</v>
      </c>
      <c r="C240" s="293">
        <v>45828</v>
      </c>
      <c r="D240" s="228" t="s">
        <v>96</v>
      </c>
      <c r="E240" s="228" t="s">
        <v>106</v>
      </c>
      <c r="F240" s="80" t="s">
        <v>468</v>
      </c>
      <c r="G240" s="293">
        <v>45940</v>
      </c>
      <c r="H240" s="500">
        <v>163870.4</v>
      </c>
      <c r="I240" s="212" t="s">
        <v>98</v>
      </c>
    </row>
    <row r="241" spans="1:9">
      <c r="A241" s="223" t="s">
        <v>467</v>
      </c>
      <c r="B241" s="21" t="s">
        <v>95</v>
      </c>
      <c r="C241" s="22">
        <v>46013</v>
      </c>
      <c r="D241" s="21" t="s">
        <v>96</v>
      </c>
      <c r="E241" s="21" t="s">
        <v>106</v>
      </c>
      <c r="F241" s="23" t="s">
        <v>469</v>
      </c>
      <c r="G241" s="22">
        <v>46157</v>
      </c>
      <c r="H241" s="386">
        <v>170198.72</v>
      </c>
      <c r="I241" s="214" t="s">
        <v>98</v>
      </c>
    </row>
    <row r="242" spans="1:9">
      <c r="A242" s="64" t="s">
        <v>467</v>
      </c>
      <c r="B242" s="229" t="s">
        <v>95</v>
      </c>
      <c r="C242" s="295">
        <v>45936</v>
      </c>
      <c r="D242" s="229" t="s">
        <v>96</v>
      </c>
      <c r="E242" s="229" t="s">
        <v>106</v>
      </c>
      <c r="F242" s="89" t="s">
        <v>470</v>
      </c>
      <c r="G242" s="295">
        <v>46167</v>
      </c>
      <c r="H242" s="389">
        <v>182117.42</v>
      </c>
      <c r="I242" s="217" t="s">
        <v>98</v>
      </c>
    </row>
    <row r="243" spans="1:9">
      <c r="A243" s="19" t="s">
        <v>471</v>
      </c>
      <c r="H243" s="502">
        <f>SUM(H240:H242)</f>
        <v>516186.54</v>
      </c>
    </row>
    <row r="244" spans="1:9">
      <c r="A244" s="207" t="s">
        <v>472</v>
      </c>
      <c r="B244" s="149" t="s">
        <v>95</v>
      </c>
      <c r="C244" s="150">
        <v>45957</v>
      </c>
      <c r="D244" s="149" t="s">
        <v>96</v>
      </c>
      <c r="E244" s="149" t="s">
        <v>106</v>
      </c>
      <c r="F244" s="16" t="s">
        <v>473</v>
      </c>
      <c r="G244" s="150">
        <v>46078</v>
      </c>
      <c r="H244" s="208">
        <v>62752</v>
      </c>
      <c r="I244" s="152" t="s">
        <v>474</v>
      </c>
    </row>
    <row r="245" spans="1:9">
      <c r="A245" s="207" t="s">
        <v>475</v>
      </c>
      <c r="B245" s="149" t="s">
        <v>95</v>
      </c>
      <c r="C245" s="150">
        <v>45894</v>
      </c>
      <c r="D245" s="149" t="s">
        <v>114</v>
      </c>
      <c r="E245" s="149" t="s">
        <v>103</v>
      </c>
      <c r="F245" s="16" t="s">
        <v>476</v>
      </c>
      <c r="G245" s="150">
        <v>46111</v>
      </c>
      <c r="H245" s="208">
        <v>182562.94</v>
      </c>
      <c r="I245" s="152" t="s">
        <v>477</v>
      </c>
    </row>
    <row r="246" spans="1:9">
      <c r="A246" s="58" t="s">
        <v>478</v>
      </c>
      <c r="B246" s="59" t="s">
        <v>95</v>
      </c>
      <c r="C246" s="60">
        <v>45887</v>
      </c>
      <c r="D246" s="59" t="s">
        <v>114</v>
      </c>
      <c r="E246" s="59" t="s">
        <v>115</v>
      </c>
      <c r="F246" s="61" t="s">
        <v>479</v>
      </c>
      <c r="G246" s="60">
        <v>46147</v>
      </c>
      <c r="H246" s="383">
        <v>189980.66</v>
      </c>
      <c r="I246" s="212" t="s">
        <v>98</v>
      </c>
    </row>
    <row r="247" spans="1:9">
      <c r="A247" s="64" t="s">
        <v>478</v>
      </c>
      <c r="B247" s="65" t="s">
        <v>95</v>
      </c>
      <c r="C247" s="66">
        <v>45895</v>
      </c>
      <c r="D247" s="65" t="s">
        <v>114</v>
      </c>
      <c r="E247" s="65" t="s">
        <v>115</v>
      </c>
      <c r="F247" s="67" t="s">
        <v>480</v>
      </c>
      <c r="G247" s="66">
        <v>46157</v>
      </c>
      <c r="H247" s="389">
        <v>232589.93</v>
      </c>
      <c r="I247" s="217" t="s">
        <v>98</v>
      </c>
    </row>
    <row r="248" spans="1:9">
      <c r="A248" s="19" t="s">
        <v>481</v>
      </c>
      <c r="H248" s="502">
        <f>SUM(H246:H247)</f>
        <v>422570.59</v>
      </c>
    </row>
    <row r="249" spans="1:9">
      <c r="A249" s="413" t="s">
        <v>482</v>
      </c>
      <c r="B249" s="149" t="s">
        <v>95</v>
      </c>
      <c r="C249" s="150">
        <v>45971</v>
      </c>
      <c r="D249" s="149" t="s">
        <v>114</v>
      </c>
      <c r="E249" s="149" t="s">
        <v>103</v>
      </c>
      <c r="F249" s="16" t="s">
        <v>483</v>
      </c>
      <c r="G249" s="150">
        <v>46149</v>
      </c>
      <c r="H249" s="415">
        <v>73256</v>
      </c>
      <c r="I249" s="152" t="s">
        <v>484</v>
      </c>
    </row>
    <row r="250" spans="1:9">
      <c r="A250" s="19" t="s">
        <v>485</v>
      </c>
      <c r="H250" s="502">
        <f>SUM(H249:H249)</f>
        <v>73256</v>
      </c>
    </row>
    <row r="251" spans="1:9">
      <c r="A251" s="58" t="s">
        <v>486</v>
      </c>
      <c r="B251" s="59" t="s">
        <v>95</v>
      </c>
      <c r="C251" s="60">
        <v>46032</v>
      </c>
      <c r="D251" s="59" t="s">
        <v>96</v>
      </c>
      <c r="E251" s="59" t="s">
        <v>103</v>
      </c>
      <c r="F251" s="61" t="s">
        <v>487</v>
      </c>
      <c r="G251" s="60">
        <v>46125</v>
      </c>
      <c r="H251" s="383">
        <v>127853.16</v>
      </c>
      <c r="I251" s="63" t="s">
        <v>488</v>
      </c>
    </row>
    <row r="252" spans="1:9">
      <c r="A252" s="64" t="s">
        <v>486</v>
      </c>
      <c r="B252" s="65" t="s">
        <v>95</v>
      </c>
      <c r="C252" s="66">
        <v>46092</v>
      </c>
      <c r="D252" s="65" t="s">
        <v>96</v>
      </c>
      <c r="E252" s="65" t="s">
        <v>103</v>
      </c>
      <c r="F252" s="67" t="s">
        <v>489</v>
      </c>
      <c r="G252" s="66">
        <v>46198</v>
      </c>
      <c r="H252" s="389">
        <v>56899.53</v>
      </c>
      <c r="I252" s="69" t="s">
        <v>98</v>
      </c>
    </row>
    <row r="253" spans="1:9">
      <c r="A253" s="19" t="s">
        <v>490</v>
      </c>
      <c r="H253" s="502">
        <f>SUM(H251:H252)</f>
        <v>184752.69</v>
      </c>
    </row>
    <row r="254" spans="1:9">
      <c r="A254" s="413" t="s">
        <v>491</v>
      </c>
      <c r="B254" s="149" t="s">
        <v>95</v>
      </c>
      <c r="C254" s="150">
        <v>45752</v>
      </c>
      <c r="D254" s="149" t="s">
        <v>96</v>
      </c>
      <c r="E254" s="149" t="s">
        <v>192</v>
      </c>
      <c r="F254" s="16" t="s">
        <v>492</v>
      </c>
      <c r="G254" s="150">
        <v>46165</v>
      </c>
      <c r="H254" s="208">
        <v>220673</v>
      </c>
      <c r="I254" s="152" t="s">
        <v>493</v>
      </c>
    </row>
    <row r="255" spans="1:9">
      <c r="A255" s="207" t="s">
        <v>494</v>
      </c>
      <c r="B255" s="149" t="s">
        <v>95</v>
      </c>
      <c r="C255" s="150">
        <v>46057</v>
      </c>
      <c r="D255" s="149" t="s">
        <v>96</v>
      </c>
      <c r="E255" s="149" t="s">
        <v>115</v>
      </c>
      <c r="F255" s="16" t="s">
        <v>495</v>
      </c>
      <c r="G255" s="150">
        <v>46177</v>
      </c>
      <c r="H255" s="208">
        <v>74276</v>
      </c>
      <c r="I255" s="152" t="s">
        <v>98</v>
      </c>
    </row>
    <row r="256" spans="1:9">
      <c r="A256" s="244" t="s">
        <v>496</v>
      </c>
      <c r="B256" s="422" t="s">
        <v>95</v>
      </c>
      <c r="C256" s="423">
        <v>46058</v>
      </c>
      <c r="D256" s="422" t="s">
        <v>114</v>
      </c>
      <c r="E256" s="422" t="s">
        <v>103</v>
      </c>
      <c r="F256" s="424" t="s">
        <v>497</v>
      </c>
      <c r="G256" s="423">
        <v>46215</v>
      </c>
      <c r="H256" s="535">
        <v>124500</v>
      </c>
      <c r="I256" s="239" t="s">
        <v>498</v>
      </c>
    </row>
    <row r="257" spans="1:21">
      <c r="A257" s="536" t="s">
        <v>499</v>
      </c>
      <c r="B257" s="537" t="s">
        <v>95</v>
      </c>
      <c r="C257" s="538">
        <v>46090</v>
      </c>
      <c r="D257" s="537" t="s">
        <v>114</v>
      </c>
      <c r="E257" s="537" t="s">
        <v>192</v>
      </c>
      <c r="F257" s="539" t="s">
        <v>321</v>
      </c>
      <c r="G257" s="538">
        <v>46227</v>
      </c>
      <c r="H257" s="540">
        <v>60000</v>
      </c>
      <c r="I257" s="541" t="s">
        <v>500</v>
      </c>
    </row>
    <row r="258" spans="1:21">
      <c r="A258" s="542" t="s">
        <v>501</v>
      </c>
      <c r="B258" s="543" t="s">
        <v>95</v>
      </c>
      <c r="C258" s="544">
        <v>45936</v>
      </c>
      <c r="D258" s="543" t="s">
        <v>96</v>
      </c>
      <c r="E258" s="543" t="s">
        <v>106</v>
      </c>
      <c r="F258" s="545" t="s">
        <v>502</v>
      </c>
      <c r="G258" s="544">
        <v>46112</v>
      </c>
      <c r="H258" s="546">
        <v>62872.01</v>
      </c>
      <c r="I258" s="547" t="s">
        <v>503</v>
      </c>
    </row>
    <row r="259" spans="1:21">
      <c r="A259" s="316" t="s">
        <v>501</v>
      </c>
      <c r="B259" s="548" t="s">
        <v>95</v>
      </c>
      <c r="C259" s="549"/>
      <c r="D259" s="548" t="s">
        <v>96</v>
      </c>
      <c r="E259" s="548" t="s">
        <v>106</v>
      </c>
      <c r="F259" s="118" t="s">
        <v>504</v>
      </c>
      <c r="G259" s="549">
        <v>46225</v>
      </c>
      <c r="H259" s="320">
        <v>34000</v>
      </c>
      <c r="I259" s="550" t="s">
        <v>98</v>
      </c>
    </row>
    <row r="260" spans="1:21">
      <c r="A260" s="19" t="s">
        <v>505</v>
      </c>
      <c r="H260" s="297">
        <f>SUM(H258:H259)</f>
        <v>96872.01</v>
      </c>
    </row>
    <row r="261" spans="1:21">
      <c r="A261" s="19"/>
      <c r="H261" s="297"/>
    </row>
    <row r="262" spans="1:21">
      <c r="A262" s="19"/>
      <c r="H262" s="297"/>
    </row>
    <row r="264" ht="21" customHeight="1" spans="1:21">
      <c r="A264" s="19"/>
      <c r="H264" s="502"/>
      <c r="J264" s="25"/>
      <c r="K264" s="529"/>
      <c r="L264" s="530"/>
      <c r="M264" s="530"/>
      <c r="N264" s="530"/>
      <c r="O264" s="530"/>
      <c r="P264" s="530"/>
      <c r="Q264" s="531"/>
      <c r="R264" s="531"/>
      <c r="T264" s="532"/>
      <c r="U264" s="532"/>
    </row>
    <row r="265" ht="21" customHeight="1" spans="1:21">
      <c r="A265" s="19"/>
      <c r="B265" s="530"/>
      <c r="C265" s="551" t="s">
        <v>506</v>
      </c>
      <c r="D265" s="552"/>
      <c r="E265" s="552"/>
      <c r="F265" s="552"/>
      <c r="G265" s="553"/>
      <c r="H265" s="554">
        <f>H13+H23+H24+H31+H51+H54+H55+H56+H62+H65+H66+H70+H74+H75+H78+H85+H90+H91+H92+H154+H17457+H97+H101+H128+H129+H130+H131+H133+H142+H145+H148+H157+H159+H84+H59+H41+H25+H172+H175+H156+H180+H187+H189+H191++H193++H200+H202+H204+H207+H210+H214+H216+H220+H229+H232+H239+H243+H244+H245+H248+H250+H205+H253+H254+H255+H256+H257+H26+H260</f>
        <v>11219652</v>
      </c>
      <c r="J265" s="25"/>
      <c r="K265" s="529"/>
      <c r="L265" s="530"/>
      <c r="M265" s="530"/>
      <c r="N265" s="530"/>
      <c r="O265" s="530"/>
      <c r="P265" s="530"/>
      <c r="Q265" s="531"/>
      <c r="R265" s="531"/>
      <c r="T265" s="532"/>
      <c r="U265" s="532"/>
    </row>
    <row r="266" spans="1:21">
      <c r="B266" s="529"/>
      <c r="C266" s="555"/>
      <c r="D266" s="529"/>
      <c r="E266" s="529"/>
      <c r="F266" s="556"/>
      <c r="G266" s="555"/>
    </row>
    <row r="267" spans="1:21">
      <c r="B267" s="529"/>
      <c r="C267" s="555"/>
      <c r="D267" s="529"/>
      <c r="E267" s="529"/>
      <c r="F267" s="556"/>
      <c r="G267" s="555"/>
    </row>
    <row r="268" ht="18.35" spans="1:21">
      <c r="B268" s="529"/>
      <c r="C268" s="529"/>
      <c r="D268" s="529"/>
      <c r="E268" s="529"/>
      <c r="F268" s="556"/>
      <c r="G268" s="555"/>
      <c r="I268" s="557"/>
    </row>
    <row r="269" spans="1:21">
      <c r="B269" s="529"/>
      <c r="C269" s="558" t="s">
        <v>507</v>
      </c>
      <c r="D269" s="559"/>
      <c r="E269" s="559"/>
      <c r="F269" s="559"/>
      <c r="G269" s="559"/>
      <c r="H269" s="560">
        <v>11591970.03</v>
      </c>
      <c r="I269" s="561">
        <f>+($H$265-H269)/H269</f>
        <v>-0.0321186156482842</v>
      </c>
    </row>
    <row r="270" spans="1:21">
      <c r="B270" s="529"/>
      <c r="C270" s="562" t="s">
        <v>508</v>
      </c>
      <c r="D270" s="563"/>
      <c r="E270" s="563"/>
      <c r="F270" s="563"/>
      <c r="G270" s="563"/>
      <c r="H270" s="564">
        <v>12442432.59</v>
      </c>
      <c r="I270" s="485">
        <f>+($H$265-H270)/H270</f>
        <v>-0.0982750423725623</v>
      </c>
    </row>
    <row r="271" ht="18.35" spans="1:21">
      <c r="B271" s="529"/>
      <c r="C271" s="565" t="s">
        <v>509</v>
      </c>
      <c r="D271" s="566"/>
      <c r="E271" s="566"/>
      <c r="F271" s="566"/>
      <c r="G271" s="566"/>
      <c r="H271" s="567">
        <v>12643240.96</v>
      </c>
      <c r="I271" s="334">
        <f>+($H$265-H271)/H271</f>
        <v>-0.112596838461268</v>
      </c>
    </row>
    <row r="277" spans="2:6">
      <c r="B277" s="487"/>
      <c r="C277" s="27" t="s">
        <v>510</v>
      </c>
      <c r="D277" s="26"/>
      <c r="E277" s="28"/>
    </row>
    <row r="279" spans="2:6">
      <c r="E279" s="568" t="s">
        <v>506</v>
      </c>
      <c r="F279" s="568"/>
    </row>
    <row r="280" spans="2:6">
      <c r="C280" s="444">
        <v>45449</v>
      </c>
      <c r="D280" s="569">
        <v>10208118.86</v>
      </c>
      <c r="E280" s="570"/>
      <c r="F280" s="571"/>
    </row>
    <row r="281" spans="2:6">
      <c r="C281" s="444">
        <v>45456</v>
      </c>
      <c r="D281" s="569">
        <v>9954410.77</v>
      </c>
      <c r="E281" s="570"/>
      <c r="F281" s="571"/>
    </row>
    <row r="282" spans="2:6">
      <c r="C282" s="444">
        <v>45463</v>
      </c>
      <c r="D282" s="569">
        <v>9202579.18</v>
      </c>
      <c r="E282" s="570"/>
      <c r="F282" s="571"/>
    </row>
    <row r="283" spans="2:6">
      <c r="C283" s="444">
        <v>45470</v>
      </c>
      <c r="D283" s="569">
        <v>9658864.96</v>
      </c>
      <c r="E283" s="570"/>
      <c r="F283" s="571"/>
    </row>
    <row r="284" spans="2:6">
      <c r="C284" s="444">
        <v>45477</v>
      </c>
      <c r="D284" s="569">
        <v>10240268.61</v>
      </c>
      <c r="E284" s="570"/>
      <c r="F284" s="571"/>
    </row>
    <row r="285" spans="2:6">
      <c r="C285" s="444">
        <v>45484</v>
      </c>
      <c r="D285" s="569">
        <v>10441447.06</v>
      </c>
      <c r="E285" s="570"/>
      <c r="F285" s="571"/>
    </row>
    <row r="286" spans="2:6">
      <c r="C286" s="444">
        <v>45491</v>
      </c>
      <c r="D286" s="569">
        <v>9851635.06</v>
      </c>
      <c r="E286" s="570"/>
      <c r="F286" s="571"/>
    </row>
    <row r="287" spans="2:6">
      <c r="C287" s="444">
        <v>45498</v>
      </c>
      <c r="D287" s="569">
        <v>10125616.33</v>
      </c>
      <c r="E287" s="570"/>
      <c r="F287" s="571"/>
    </row>
    <row r="288" spans="2:6">
      <c r="C288" s="444">
        <v>45505</v>
      </c>
      <c r="D288" s="569">
        <v>10230662.65</v>
      </c>
      <c r="E288" s="570"/>
      <c r="F288" s="571"/>
    </row>
    <row r="289" spans="3:6">
      <c r="C289" s="444">
        <v>45512</v>
      </c>
      <c r="D289" s="569">
        <v>10845171.9</v>
      </c>
      <c r="E289" s="570"/>
      <c r="F289" s="571"/>
    </row>
    <row r="290" spans="3:6">
      <c r="C290" s="444">
        <v>45519</v>
      </c>
      <c r="D290" s="569">
        <v>11629804.08</v>
      </c>
      <c r="E290" s="570"/>
      <c r="F290" s="571"/>
    </row>
    <row r="291" spans="3:6">
      <c r="C291" s="444">
        <v>45547</v>
      </c>
      <c r="D291" s="569">
        <v>11925099.2</v>
      </c>
      <c r="E291" s="570"/>
      <c r="F291" s="571"/>
    </row>
    <row r="292" spans="3:6">
      <c r="C292" s="444">
        <v>45554</v>
      </c>
      <c r="D292" s="569">
        <v>12464577.84</v>
      </c>
      <c r="E292" s="570"/>
      <c r="F292" s="571"/>
    </row>
    <row r="293" spans="3:6">
      <c r="C293" s="444">
        <v>45561</v>
      </c>
      <c r="D293" s="569">
        <v>12738234.7</v>
      </c>
      <c r="E293" s="570"/>
      <c r="F293" s="571"/>
    </row>
    <row r="294" spans="3:6">
      <c r="C294" s="444">
        <v>45568</v>
      </c>
      <c r="D294" s="569">
        <v>12541255.77</v>
      </c>
      <c r="E294" s="570"/>
      <c r="F294" s="571"/>
    </row>
    <row r="295" spans="3:6">
      <c r="C295" s="444">
        <v>45575</v>
      </c>
      <c r="D295" s="569">
        <v>11576422.6</v>
      </c>
      <c r="E295" s="570"/>
      <c r="F295" s="571"/>
    </row>
    <row r="296" spans="3:6">
      <c r="C296" s="444">
        <v>45582</v>
      </c>
      <c r="D296" s="569">
        <v>10567571.23</v>
      </c>
      <c r="E296" s="570"/>
      <c r="F296" s="571"/>
    </row>
    <row r="297" spans="3:6">
      <c r="C297" s="444">
        <v>45589</v>
      </c>
      <c r="D297" s="569">
        <v>10706853.24</v>
      </c>
      <c r="E297" s="570"/>
      <c r="F297" s="571"/>
    </row>
    <row r="298" spans="3:6">
      <c r="C298" s="444">
        <v>45596</v>
      </c>
      <c r="D298" s="569">
        <v>10554657.29</v>
      </c>
      <c r="E298" s="570"/>
      <c r="F298" s="571"/>
    </row>
    <row r="299" spans="3:6">
      <c r="C299" s="444">
        <v>45603</v>
      </c>
      <c r="D299" s="569">
        <v>10757206.52</v>
      </c>
      <c r="E299" s="570"/>
      <c r="F299" s="571"/>
    </row>
    <row r="300" spans="3:6">
      <c r="C300" s="444">
        <v>45610</v>
      </c>
      <c r="D300" s="569">
        <v>10779986.27</v>
      </c>
      <c r="E300" s="570"/>
      <c r="F300" s="571"/>
    </row>
    <row r="301" spans="3:6">
      <c r="C301" s="444">
        <v>45617</v>
      </c>
      <c r="D301" s="569">
        <v>10726483.18</v>
      </c>
      <c r="E301" s="570"/>
      <c r="F301" s="571"/>
    </row>
    <row r="302" spans="3:6">
      <c r="C302" s="444">
        <v>45624</v>
      </c>
      <c r="D302" s="569">
        <v>11039993.35</v>
      </c>
      <c r="E302" s="570"/>
      <c r="F302" s="571"/>
    </row>
    <row r="303" spans="3:6">
      <c r="C303" s="444">
        <v>45631</v>
      </c>
      <c r="D303" s="569">
        <v>11027675.57</v>
      </c>
      <c r="E303" s="570"/>
      <c r="F303" s="571"/>
    </row>
    <row r="304" spans="3:6">
      <c r="C304" s="444">
        <v>45638</v>
      </c>
      <c r="D304" s="569">
        <v>10583788.17</v>
      </c>
      <c r="E304" s="570"/>
      <c r="F304" s="571"/>
    </row>
    <row r="305" spans="3:6">
      <c r="C305" s="444">
        <v>45645</v>
      </c>
      <c r="D305" s="569">
        <v>9862137.9</v>
      </c>
      <c r="E305" s="570"/>
      <c r="F305" s="571"/>
    </row>
    <row r="306" spans="3:6">
      <c r="C306" s="444">
        <v>45652</v>
      </c>
      <c r="D306" s="569">
        <v>9779642.66</v>
      </c>
      <c r="E306" s="570"/>
      <c r="F306" s="571"/>
    </row>
    <row r="307" spans="3:6">
      <c r="C307" s="444">
        <v>45659</v>
      </c>
      <c r="D307" s="569">
        <v>9318597.83</v>
      </c>
      <c r="E307" s="570"/>
      <c r="F307" s="571"/>
    </row>
    <row r="308" spans="3:6">
      <c r="C308" s="444">
        <v>45666</v>
      </c>
      <c r="D308" s="569">
        <v>10052161.4</v>
      </c>
      <c r="E308" s="570"/>
      <c r="F308" s="571"/>
    </row>
    <row r="309" spans="3:6">
      <c r="C309" s="444">
        <v>45673</v>
      </c>
      <c r="D309" s="569">
        <v>9732515.05</v>
      </c>
      <c r="E309" s="570"/>
      <c r="F309" s="571"/>
    </row>
    <row r="310" spans="3:6">
      <c r="C310" s="444">
        <v>45680</v>
      </c>
      <c r="D310" s="569">
        <v>10339349.86</v>
      </c>
      <c r="E310" s="570"/>
      <c r="F310" s="571"/>
    </row>
    <row r="311" spans="3:6">
      <c r="C311" s="444">
        <v>45687</v>
      </c>
      <c r="D311" s="569">
        <v>11006009.61</v>
      </c>
      <c r="E311" s="570"/>
      <c r="F311" s="571"/>
    </row>
    <row r="312" spans="3:6">
      <c r="C312" s="444">
        <v>45694</v>
      </c>
      <c r="D312" s="569">
        <v>10969037.61</v>
      </c>
      <c r="E312" s="570"/>
      <c r="F312" s="571"/>
    </row>
    <row r="313" spans="3:6">
      <c r="C313" s="444">
        <v>45701</v>
      </c>
      <c r="D313" s="569">
        <v>12068185.3</v>
      </c>
      <c r="E313" s="570"/>
      <c r="F313" s="571"/>
    </row>
    <row r="314" spans="3:6">
      <c r="C314" s="444">
        <v>45708</v>
      </c>
      <c r="D314" s="569">
        <v>12680441.57</v>
      </c>
      <c r="E314" s="570"/>
      <c r="F314" s="571"/>
    </row>
    <row r="315" spans="3:6">
      <c r="C315" s="444">
        <v>45715</v>
      </c>
      <c r="D315" s="569">
        <v>13268369.52</v>
      </c>
      <c r="E315" s="570"/>
      <c r="F315" s="571"/>
    </row>
    <row r="316" spans="3:6">
      <c r="C316" s="444">
        <v>45722</v>
      </c>
      <c r="D316" s="569">
        <v>13627565.53</v>
      </c>
      <c r="E316" s="570"/>
      <c r="F316" s="571"/>
    </row>
    <row r="317" spans="3:6">
      <c r="C317" s="444">
        <v>45730</v>
      </c>
      <c r="D317" s="569">
        <v>13429649.65</v>
      </c>
      <c r="E317" s="570"/>
      <c r="F317" s="571"/>
    </row>
    <row r="318" spans="3:6">
      <c r="C318" s="444">
        <v>45736</v>
      </c>
      <c r="D318" s="569">
        <v>10317793.04</v>
      </c>
      <c r="E318" s="570"/>
      <c r="F318" s="571"/>
    </row>
    <row r="319" spans="3:6">
      <c r="C319" s="444">
        <v>45743</v>
      </c>
      <c r="D319" s="569">
        <v>10839775.96</v>
      </c>
      <c r="E319" s="570"/>
      <c r="F319" s="571"/>
    </row>
    <row r="320" spans="3:6">
      <c r="C320" s="444">
        <v>45750</v>
      </c>
      <c r="D320" s="569">
        <v>10751775.96</v>
      </c>
      <c r="E320" s="570"/>
      <c r="F320" s="571"/>
    </row>
    <row r="321" spans="3:6">
      <c r="C321" s="444">
        <v>45757</v>
      </c>
      <c r="D321" s="569">
        <v>11233169.19</v>
      </c>
      <c r="E321" s="570"/>
      <c r="F321" s="571"/>
    </row>
    <row r="322" spans="3:6">
      <c r="C322" s="444">
        <v>45764</v>
      </c>
      <c r="D322" s="569">
        <v>10471930.22</v>
      </c>
      <c r="E322" s="570"/>
      <c r="F322" s="571"/>
    </row>
    <row r="323" spans="3:6">
      <c r="C323" s="444">
        <v>45771</v>
      </c>
      <c r="D323" s="569">
        <v>10929704.68</v>
      </c>
      <c r="E323" s="570"/>
      <c r="F323" s="571"/>
    </row>
    <row r="324" spans="3:6">
      <c r="C324" s="444">
        <v>45779</v>
      </c>
      <c r="D324" s="569">
        <v>11167822.16</v>
      </c>
      <c r="E324" s="570"/>
      <c r="F324" s="571"/>
    </row>
    <row r="325" spans="3:6">
      <c r="C325" s="444">
        <v>45792</v>
      </c>
      <c r="D325" s="569">
        <v>12089610.04</v>
      </c>
      <c r="E325" s="570"/>
      <c r="F325" s="571"/>
    </row>
    <row r="326" spans="3:6">
      <c r="C326" s="444">
        <v>45799</v>
      </c>
      <c r="D326" s="569">
        <v>11006950.55</v>
      </c>
      <c r="E326" s="570"/>
      <c r="F326" s="571"/>
    </row>
    <row r="327" spans="3:6">
      <c r="C327" s="444">
        <v>45806</v>
      </c>
      <c r="D327" s="569">
        <v>10947363.61</v>
      </c>
      <c r="E327" s="570"/>
      <c r="F327" s="571"/>
    </row>
    <row r="328" spans="3:6">
      <c r="C328" s="444">
        <v>45820</v>
      </c>
      <c r="D328" s="569">
        <v>11351490.6</v>
      </c>
      <c r="E328" s="570"/>
      <c r="F328" s="571"/>
    </row>
    <row r="329" spans="3:6">
      <c r="C329" s="444">
        <v>45827</v>
      </c>
      <c r="D329" s="569">
        <v>11339356.44</v>
      </c>
      <c r="E329" s="570"/>
      <c r="F329" s="571"/>
    </row>
    <row r="330" spans="3:6">
      <c r="C330" s="444">
        <v>45842</v>
      </c>
      <c r="D330" s="569">
        <v>11660099.12</v>
      </c>
      <c r="E330" s="570"/>
      <c r="F330" s="571"/>
    </row>
    <row r="331" spans="3:6">
      <c r="C331" s="444">
        <v>45848</v>
      </c>
      <c r="D331" s="569">
        <v>12098509.34</v>
      </c>
      <c r="E331" s="570"/>
      <c r="F331" s="571"/>
    </row>
    <row r="332" spans="3:6">
      <c r="C332" s="444">
        <v>45856</v>
      </c>
      <c r="D332" s="569">
        <v>12550687.96</v>
      </c>
      <c r="E332" s="570"/>
      <c r="F332" s="571"/>
    </row>
    <row r="333" spans="3:6">
      <c r="C333" s="444">
        <v>45863</v>
      </c>
      <c r="D333" s="569">
        <v>12279855.23</v>
      </c>
      <c r="E333" s="570"/>
      <c r="F333" s="571"/>
    </row>
    <row r="334" spans="3:6">
      <c r="C334" s="444">
        <v>45880</v>
      </c>
      <c r="D334" s="569">
        <v>11964133.77</v>
      </c>
      <c r="E334" s="570"/>
      <c r="F334" s="571"/>
    </row>
    <row r="335" spans="3:6">
      <c r="C335" s="444">
        <v>45891</v>
      </c>
      <c r="D335" s="569">
        <v>11617239.59</v>
      </c>
      <c r="E335" s="570"/>
      <c r="F335" s="571"/>
    </row>
    <row r="336" spans="3:6">
      <c r="C336" s="444">
        <v>45919</v>
      </c>
      <c r="D336" s="569">
        <v>12291000.23</v>
      </c>
      <c r="E336" s="570"/>
      <c r="F336" s="571"/>
    </row>
    <row r="337" spans="3:6">
      <c r="C337" s="444">
        <v>45925</v>
      </c>
      <c r="D337" s="569">
        <v>12133152.89</v>
      </c>
      <c r="E337" s="570"/>
      <c r="F337" s="571"/>
    </row>
    <row r="338" spans="3:6">
      <c r="C338" s="444">
        <v>45933</v>
      </c>
      <c r="D338" s="569">
        <v>11379126.67</v>
      </c>
      <c r="E338" s="570"/>
      <c r="F338" s="571"/>
    </row>
    <row r="339" spans="3:6">
      <c r="C339" s="444">
        <v>45940</v>
      </c>
      <c r="D339" s="569">
        <v>11515385.92</v>
      </c>
      <c r="E339" s="570"/>
      <c r="F339" s="571"/>
    </row>
    <row r="340" spans="3:6">
      <c r="C340" s="444">
        <v>45947</v>
      </c>
      <c r="D340" s="569">
        <v>11964830.95</v>
      </c>
      <c r="E340" s="570"/>
      <c r="F340" s="571"/>
    </row>
    <row r="341" spans="3:6">
      <c r="C341" s="444">
        <v>45952</v>
      </c>
      <c r="D341" s="569">
        <v>11921828.96</v>
      </c>
      <c r="E341" s="570"/>
      <c r="F341" s="571"/>
    </row>
    <row r="342" spans="3:6">
      <c r="C342" s="444">
        <v>45961</v>
      </c>
      <c r="D342" s="569">
        <v>12573627.48</v>
      </c>
      <c r="E342" s="570"/>
      <c r="F342" s="571"/>
    </row>
    <row r="343" spans="3:6">
      <c r="C343" s="444">
        <v>45968</v>
      </c>
      <c r="D343" s="569">
        <v>12579775.08</v>
      </c>
      <c r="E343" s="570"/>
      <c r="F343" s="571"/>
    </row>
    <row r="344" spans="3:6">
      <c r="C344" s="444">
        <v>45975</v>
      </c>
      <c r="D344" s="569">
        <v>12228921.43</v>
      </c>
      <c r="E344" s="570"/>
      <c r="F344" s="571"/>
    </row>
    <row r="345" spans="3:6">
      <c r="C345" s="444">
        <v>45982</v>
      </c>
      <c r="D345" s="569">
        <v>12428476.71</v>
      </c>
      <c r="E345" s="570"/>
      <c r="F345" s="571"/>
    </row>
    <row r="346" spans="3:6">
      <c r="C346" s="444">
        <v>45989</v>
      </c>
      <c r="D346" s="569">
        <v>12510938.95</v>
      </c>
      <c r="E346" s="570"/>
      <c r="F346" s="571"/>
    </row>
    <row r="347" spans="3:6">
      <c r="C347" s="444">
        <v>45996</v>
      </c>
      <c r="D347" s="569">
        <v>13029075.59</v>
      </c>
      <c r="E347" s="570"/>
      <c r="F347" s="571"/>
    </row>
    <row r="348" spans="3:6">
      <c r="C348" s="444">
        <v>46003</v>
      </c>
      <c r="D348" s="569">
        <v>12651514.47</v>
      </c>
      <c r="E348" s="570"/>
      <c r="F348" s="571"/>
    </row>
    <row r="349" spans="3:6">
      <c r="C349" s="444">
        <v>46010</v>
      </c>
      <c r="D349" s="569">
        <v>12803409.97</v>
      </c>
      <c r="E349" s="570"/>
      <c r="F349" s="571"/>
    </row>
    <row r="350" spans="3:6">
      <c r="C350" s="444">
        <v>46017</v>
      </c>
      <c r="D350" s="569">
        <v>12908817.62</v>
      </c>
      <c r="E350" s="570"/>
      <c r="F350" s="571"/>
    </row>
    <row r="351" spans="3:6">
      <c r="C351" s="444">
        <v>46030</v>
      </c>
      <c r="D351" s="569">
        <v>12458351.68</v>
      </c>
      <c r="E351" s="570"/>
      <c r="F351" s="571"/>
    </row>
    <row r="352" spans="3:6">
      <c r="C352" s="444">
        <v>46042</v>
      </c>
      <c r="D352" s="569">
        <v>11614484.8</v>
      </c>
      <c r="E352" s="570"/>
      <c r="F352" s="571"/>
    </row>
    <row r="353" spans="3:6">
      <c r="C353" s="444">
        <v>46051</v>
      </c>
      <c r="D353" s="569">
        <v>11386352.41</v>
      </c>
      <c r="E353" s="570"/>
      <c r="F353" s="571"/>
    </row>
    <row r="354" spans="3:6">
      <c r="C354" s="444">
        <v>46066</v>
      </c>
      <c r="D354" s="570">
        <v>11089687.68</v>
      </c>
      <c r="E354" s="570"/>
      <c r="F354" s="571"/>
    </row>
    <row r="355" spans="3:6">
      <c r="C355" s="572">
        <v>46080</v>
      </c>
      <c r="D355" s="569">
        <v>11111790.94</v>
      </c>
      <c r="E355" s="570"/>
      <c r="F355" s="571"/>
    </row>
    <row r="356" spans="3:6">
      <c r="C356" s="444">
        <v>46087</v>
      </c>
      <c r="D356" s="569">
        <v>11603166.15</v>
      </c>
      <c r="E356" s="570"/>
      <c r="F356" s="571"/>
    </row>
    <row r="357" spans="3:6">
      <c r="C357" s="444">
        <v>46094</v>
      </c>
      <c r="D357" s="569">
        <v>12050204.24</v>
      </c>
      <c r="E357" s="570"/>
      <c r="F357" s="571"/>
    </row>
    <row r="358" spans="3:6">
      <c r="C358" s="261">
        <v>46114</v>
      </c>
      <c r="D358" s="569">
        <v>12065976.59</v>
      </c>
      <c r="E358" s="570"/>
      <c r="F358" s="571"/>
    </row>
    <row r="359" spans="3:6">
      <c r="C359" s="444">
        <v>46125</v>
      </c>
      <c r="D359" s="569">
        <v>11981768.8</v>
      </c>
      <c r="E359" s="570"/>
      <c r="F359" s="571"/>
    </row>
    <row r="360" spans="3:6">
      <c r="C360" s="444">
        <v>46136</v>
      </c>
      <c r="D360" s="569">
        <v>11889039.4</v>
      </c>
      <c r="E360" s="570"/>
      <c r="F360" s="571"/>
    </row>
    <row r="361" spans="3:6">
      <c r="C361" s="444">
        <v>46150</v>
      </c>
      <c r="D361" s="569">
        <v>11435663.47</v>
      </c>
      <c r="E361" s="570"/>
      <c r="F361" s="571"/>
    </row>
    <row r="362" spans="3:6">
      <c r="C362" s="444">
        <v>46157</v>
      </c>
      <c r="D362" s="569">
        <v>12052234.55</v>
      </c>
      <c r="E362" s="570"/>
      <c r="F362" s="571"/>
    </row>
    <row r="363" spans="3:6">
      <c r="C363" s="261">
        <v>46177</v>
      </c>
      <c r="D363" s="569">
        <v>12235593.27</v>
      </c>
      <c r="E363" s="570"/>
      <c r="F363" s="571"/>
    </row>
    <row r="364" spans="3:6">
      <c r="C364" s="444">
        <v>46185</v>
      </c>
      <c r="D364" s="569">
        <v>13149807.18</v>
      </c>
      <c r="E364" s="570"/>
      <c r="F364" s="571"/>
    </row>
    <row r="365" spans="3:6">
      <c r="C365" s="444">
        <v>46192</v>
      </c>
      <c r="D365" s="569">
        <v>13209397.46</v>
      </c>
      <c r="E365" s="570"/>
      <c r="F365" s="571"/>
    </row>
    <row r="366" spans="3:6">
      <c r="C366" s="444">
        <v>46199</v>
      </c>
      <c r="D366" s="569">
        <v>13502618.83</v>
      </c>
      <c r="E366" s="570"/>
      <c r="F366" s="571"/>
    </row>
    <row r="367" spans="3:6">
      <c r="C367" s="444">
        <v>46206</v>
      </c>
      <c r="D367" s="569">
        <v>12711490.32</v>
      </c>
      <c r="E367" s="570"/>
      <c r="F367" s="571"/>
    </row>
    <row r="368" spans="3:6">
      <c r="C368" s="444">
        <v>46213</v>
      </c>
      <c r="D368" s="569">
        <v>12643240.92</v>
      </c>
      <c r="E368" s="570"/>
      <c r="F368" s="571"/>
    </row>
    <row r="369" spans="3:6">
      <c r="C369" s="444">
        <v>46220</v>
      </c>
      <c r="D369" s="569">
        <v>12442432.59</v>
      </c>
      <c r="E369" s="570"/>
      <c r="F369" s="571"/>
    </row>
    <row r="370" spans="3:6">
      <c r="C370" s="444">
        <v>46227</v>
      </c>
      <c r="D370" s="569">
        <v>11591970.03</v>
      </c>
      <c r="E370" s="570"/>
      <c r="F370" s="571"/>
    </row>
    <row r="371" spans="3:6">
      <c r="C371" s="444">
        <v>46234</v>
      </c>
      <c r="D371" s="569">
        <v>11219652</v>
      </c>
      <c r="E371" s="570"/>
      <c r="F371" s="571"/>
    </row>
  </sheetData>
  <autoFilter xmlns:etc="http://www.wps.cn/officeDocument/2017/etCustomData" ref="A5:I260" etc:filterBottomFollowUsedRange="0">
    <extLst/>
  </autoFilter>
  <mergeCells count="98">
    <mergeCell ref="B3:F3"/>
    <mergeCell ref="C265:G265"/>
    <mergeCell ref="B268:E268"/>
    <mergeCell ref="C269:G269"/>
    <mergeCell ref="C270:G270"/>
    <mergeCell ref="E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</mergeCells>
  <pageMargins left="0.75" right="0.75" top="1" bottom="1" header="0.5" footer="0.5"/>
  <pageSetup paperSize="9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7"/>
  <sheetViews>
    <sheetView topLeftCell="A148" workbookViewId="0">
      <selection activeCell="D168" sqref="D168"/>
    </sheetView>
  </sheetViews>
  <sheetFormatPr defaultColWidth="11" defaultRowHeight="17.6"/>
  <cols>
    <col min="1" max="1" width="34.125" style="26" customWidth="1"/>
    <col min="2" max="2" width="5.875" style="26" customWidth="1"/>
    <col min="3" max="3" width="10.375" style="27" customWidth="1"/>
    <col min="4" max="4" width="3.375" style="28" customWidth="1"/>
    <col min="5" max="5" width="5.875" style="26" customWidth="1"/>
    <col min="6" max="6" width="6.875" style="26" customWidth="1"/>
    <col min="7" max="7" width="9.125" style="29" customWidth="1"/>
    <col min="8" max="8" width="11.875" style="30" customWidth="1"/>
    <col min="9" max="9" width="38.625" style="26" customWidth="1"/>
  </cols>
  <sheetData>
    <row r="1" ht="18.35"/>
    <row r="2" ht="18.35" spans="1:16">
      <c r="B2" s="445" t="s">
        <v>511</v>
      </c>
      <c r="C2" s="446"/>
      <c r="D2" s="446"/>
      <c r="E2" s="446"/>
      <c r="F2" s="446"/>
      <c r="G2" s="447"/>
    </row>
    <row r="3" ht="18.35"/>
    <row r="4" spans="1:16">
      <c r="A4" s="264" t="s">
        <v>85</v>
      </c>
      <c r="B4" s="265" t="s">
        <v>86</v>
      </c>
      <c r="C4" s="9" t="s">
        <v>87</v>
      </c>
      <c r="D4" s="8" t="s">
        <v>88</v>
      </c>
      <c r="E4" s="265" t="s">
        <v>89</v>
      </c>
      <c r="F4" s="265" t="s">
        <v>90</v>
      </c>
      <c r="G4" s="266" t="s">
        <v>91</v>
      </c>
      <c r="H4" s="267" t="s">
        <v>92</v>
      </c>
      <c r="I4" s="268" t="s">
        <v>93</v>
      </c>
      <c r="J4" s="25"/>
      <c r="K4" s="25"/>
      <c r="L4" s="25"/>
      <c r="M4" s="25"/>
      <c r="N4" s="25"/>
      <c r="O4" s="25"/>
      <c r="P4" s="25"/>
    </row>
    <row r="5" spans="1:16">
      <c r="A5" s="448" t="s">
        <v>512</v>
      </c>
      <c r="B5" s="275" t="s">
        <v>513</v>
      </c>
      <c r="C5" s="79">
        <v>41878</v>
      </c>
      <c r="D5" s="78" t="s">
        <v>96</v>
      </c>
      <c r="E5" s="275" t="s">
        <v>106</v>
      </c>
      <c r="F5" s="275">
        <v>373498</v>
      </c>
      <c r="G5" s="92">
        <v>42144</v>
      </c>
      <c r="H5" s="449">
        <v>7840</v>
      </c>
      <c r="I5" s="82" t="s">
        <v>98</v>
      </c>
      <c r="J5" s="25"/>
      <c r="K5" s="25"/>
      <c r="L5" s="25"/>
      <c r="M5" s="25"/>
      <c r="N5" s="25"/>
      <c r="O5" s="25"/>
      <c r="P5" s="25"/>
    </row>
    <row r="6" spans="1:16">
      <c r="A6" s="450" t="s">
        <v>514</v>
      </c>
      <c r="B6" s="26" t="s">
        <v>513</v>
      </c>
      <c r="C6" s="27">
        <v>41818</v>
      </c>
      <c r="D6" s="28" t="s">
        <v>96</v>
      </c>
      <c r="E6" s="26" t="s">
        <v>103</v>
      </c>
      <c r="F6" s="26">
        <v>424182</v>
      </c>
      <c r="G6" s="29">
        <v>42003</v>
      </c>
      <c r="H6" s="30">
        <v>7000</v>
      </c>
      <c r="I6" s="85" t="s">
        <v>515</v>
      </c>
      <c r="J6" s="25"/>
      <c r="K6" s="25"/>
      <c r="L6" s="25"/>
      <c r="M6" s="25"/>
      <c r="N6" s="25"/>
      <c r="O6" s="25"/>
      <c r="P6" s="25"/>
    </row>
    <row r="7" spans="1:16">
      <c r="A7" s="450" t="s">
        <v>514</v>
      </c>
      <c r="B7" s="26" t="s">
        <v>513</v>
      </c>
      <c r="C7" s="27">
        <v>41818</v>
      </c>
      <c r="D7" s="28" t="s">
        <v>96</v>
      </c>
      <c r="E7" s="26" t="s">
        <v>103</v>
      </c>
      <c r="F7" s="26">
        <v>424183</v>
      </c>
      <c r="G7" s="29">
        <v>42003</v>
      </c>
      <c r="H7" s="30">
        <v>6780</v>
      </c>
      <c r="I7" s="85" t="s">
        <v>515</v>
      </c>
      <c r="J7" s="25"/>
      <c r="K7" s="25"/>
      <c r="L7" s="25"/>
      <c r="M7" s="25"/>
      <c r="N7" s="25"/>
      <c r="O7" s="25"/>
      <c r="P7" s="25"/>
    </row>
    <row r="8" spans="1:16">
      <c r="A8" s="450" t="s">
        <v>514</v>
      </c>
      <c r="B8" s="26" t="s">
        <v>513</v>
      </c>
      <c r="C8" s="27">
        <v>41878</v>
      </c>
      <c r="D8" s="28" t="s">
        <v>96</v>
      </c>
      <c r="E8" s="26" t="s">
        <v>103</v>
      </c>
      <c r="F8" s="26">
        <v>426841</v>
      </c>
      <c r="G8" s="29">
        <v>42063</v>
      </c>
      <c r="H8" s="30">
        <v>8500</v>
      </c>
      <c r="I8" s="85" t="s">
        <v>98</v>
      </c>
      <c r="J8" s="25"/>
      <c r="K8" s="25"/>
      <c r="L8" s="25"/>
      <c r="M8" s="25"/>
      <c r="N8" s="25"/>
      <c r="O8" s="25"/>
      <c r="P8" s="25"/>
    </row>
    <row r="9" spans="1:16">
      <c r="A9" s="450" t="s">
        <v>516</v>
      </c>
      <c r="B9" s="26" t="s">
        <v>513</v>
      </c>
      <c r="C9" s="27">
        <v>42004</v>
      </c>
      <c r="D9" s="28" t="s">
        <v>96</v>
      </c>
      <c r="E9" s="26" t="s">
        <v>103</v>
      </c>
      <c r="F9" s="26">
        <v>137306</v>
      </c>
      <c r="G9" s="29">
        <v>42215</v>
      </c>
      <c r="H9" s="30">
        <v>8500</v>
      </c>
      <c r="I9" s="85" t="s">
        <v>98</v>
      </c>
      <c r="J9" s="25"/>
      <c r="K9" s="25"/>
      <c r="L9" s="25"/>
      <c r="M9" s="25"/>
      <c r="N9" s="25"/>
      <c r="O9" s="25"/>
      <c r="P9" s="25"/>
    </row>
    <row r="10" spans="1:16">
      <c r="A10" s="450" t="s">
        <v>517</v>
      </c>
      <c r="B10" s="26" t="s">
        <v>513</v>
      </c>
      <c r="C10" s="27">
        <v>41818</v>
      </c>
      <c r="D10" s="28" t="s">
        <v>96</v>
      </c>
      <c r="E10" s="26" t="s">
        <v>185</v>
      </c>
      <c r="F10" s="26">
        <v>128385</v>
      </c>
      <c r="G10" s="29">
        <v>41958</v>
      </c>
      <c r="H10" s="30">
        <v>37624.64</v>
      </c>
      <c r="I10" s="85" t="s">
        <v>518</v>
      </c>
      <c r="J10" s="25"/>
      <c r="K10" s="25"/>
      <c r="L10" s="25"/>
      <c r="M10" s="25"/>
      <c r="N10" s="25"/>
      <c r="O10" s="25"/>
      <c r="P10" s="25"/>
    </row>
    <row r="11" spans="1:16">
      <c r="A11" s="451" t="s">
        <v>519</v>
      </c>
      <c r="B11" s="277" t="s">
        <v>513</v>
      </c>
      <c r="C11" s="88">
        <v>41964</v>
      </c>
      <c r="D11" s="87" t="s">
        <v>96</v>
      </c>
      <c r="E11" s="277" t="s">
        <v>185</v>
      </c>
      <c r="F11" s="277">
        <v>151989</v>
      </c>
      <c r="G11" s="93">
        <v>42217</v>
      </c>
      <c r="H11" s="452">
        <v>10000</v>
      </c>
      <c r="I11" s="91" t="s">
        <v>98</v>
      </c>
      <c r="J11" s="25"/>
      <c r="K11" s="25"/>
      <c r="L11" s="25"/>
      <c r="M11" s="25"/>
      <c r="N11" s="25"/>
      <c r="O11" s="25"/>
      <c r="P11" s="25"/>
    </row>
    <row r="12" spans="1:16">
      <c r="A12" s="70" t="s">
        <v>520</v>
      </c>
      <c r="H12" s="76">
        <f>SUM(H5:H11)</f>
        <v>86244.64</v>
      </c>
      <c r="J12" s="25"/>
      <c r="K12" s="25"/>
      <c r="L12" s="25"/>
      <c r="M12" s="25"/>
      <c r="N12" s="25"/>
      <c r="O12" s="25"/>
      <c r="P12" s="25"/>
    </row>
    <row r="13" spans="1:16">
      <c r="A13" s="77" t="s">
        <v>521</v>
      </c>
      <c r="B13" s="275" t="s">
        <v>513</v>
      </c>
      <c r="C13" s="79">
        <v>41626</v>
      </c>
      <c r="D13" s="78" t="s">
        <v>96</v>
      </c>
      <c r="E13" s="275" t="s">
        <v>220</v>
      </c>
      <c r="F13" s="275">
        <v>643839</v>
      </c>
      <c r="G13" s="92">
        <v>41698</v>
      </c>
      <c r="H13" s="449">
        <v>171936</v>
      </c>
      <c r="I13" s="82" t="s">
        <v>98</v>
      </c>
      <c r="J13" s="25"/>
      <c r="K13" s="25"/>
      <c r="L13" s="25"/>
      <c r="M13" s="25"/>
      <c r="N13" s="25"/>
      <c r="O13" s="25"/>
      <c r="P13" s="25"/>
    </row>
    <row r="14" spans="1:16">
      <c r="A14" s="86" t="s">
        <v>521</v>
      </c>
      <c r="B14" s="277" t="s">
        <v>513</v>
      </c>
      <c r="C14" s="88">
        <v>41626</v>
      </c>
      <c r="D14" s="87" t="s">
        <v>96</v>
      </c>
      <c r="E14" s="277" t="s">
        <v>220</v>
      </c>
      <c r="F14" s="277">
        <v>643840</v>
      </c>
      <c r="G14" s="93">
        <v>41714</v>
      </c>
      <c r="H14" s="452">
        <v>169920</v>
      </c>
      <c r="I14" s="91" t="s">
        <v>98</v>
      </c>
      <c r="J14" s="25"/>
      <c r="K14" s="25"/>
      <c r="L14" s="25"/>
      <c r="M14" s="25"/>
      <c r="N14" s="25"/>
      <c r="O14" s="25"/>
      <c r="P14" s="25"/>
    </row>
    <row r="15" spans="1:16">
      <c r="A15" s="453" t="s">
        <v>522</v>
      </c>
      <c r="H15" s="76">
        <f>SUM(H13:H14)</f>
        <v>341856</v>
      </c>
      <c r="J15" s="25"/>
      <c r="K15" s="25"/>
      <c r="L15" s="25"/>
      <c r="M15" s="25"/>
      <c r="N15" s="25"/>
      <c r="O15" s="25"/>
      <c r="P15" s="25"/>
    </row>
    <row r="16" spans="1:16">
      <c r="A16" s="377" t="s">
        <v>523</v>
      </c>
      <c r="B16" s="378" t="s">
        <v>513</v>
      </c>
      <c r="C16" s="15">
        <v>40570</v>
      </c>
      <c r="D16" s="14" t="s">
        <v>96</v>
      </c>
      <c r="E16" s="378" t="s">
        <v>103</v>
      </c>
      <c r="F16" s="378">
        <v>1255</v>
      </c>
      <c r="G16" s="379">
        <v>41615</v>
      </c>
      <c r="H16" s="380">
        <v>9123.69</v>
      </c>
      <c r="I16" s="381" t="s">
        <v>524</v>
      </c>
    </row>
    <row r="17" spans="1:13">
      <c r="A17" s="377" t="s">
        <v>525</v>
      </c>
      <c r="B17" s="378" t="s">
        <v>513</v>
      </c>
      <c r="C17" s="15">
        <v>40808</v>
      </c>
      <c r="D17" s="14" t="s">
        <v>96</v>
      </c>
      <c r="E17" s="378" t="s">
        <v>185</v>
      </c>
      <c r="F17" s="378">
        <v>415198</v>
      </c>
      <c r="G17" s="379">
        <v>40923</v>
      </c>
      <c r="H17" s="380">
        <v>101918.74</v>
      </c>
      <c r="I17" s="381" t="s">
        <v>526</v>
      </c>
    </row>
    <row r="18" spans="1:13">
      <c r="A18" s="377" t="s">
        <v>527</v>
      </c>
      <c r="B18" s="378" t="s">
        <v>513</v>
      </c>
      <c r="C18" s="15">
        <v>41425</v>
      </c>
      <c r="D18" s="14" t="s">
        <v>114</v>
      </c>
      <c r="E18" s="378" t="s">
        <v>103</v>
      </c>
      <c r="F18" s="378">
        <v>572038</v>
      </c>
      <c r="G18" s="379">
        <v>41645</v>
      </c>
      <c r="H18" s="380">
        <v>5191.46</v>
      </c>
      <c r="I18" s="381" t="s">
        <v>528</v>
      </c>
    </row>
    <row r="19" spans="1:13">
      <c r="A19" s="451" t="s">
        <v>529</v>
      </c>
      <c r="B19" s="277" t="s">
        <v>513</v>
      </c>
      <c r="C19" s="88">
        <v>42471</v>
      </c>
      <c r="D19" s="87" t="s">
        <v>114</v>
      </c>
      <c r="E19" s="277" t="s">
        <v>97</v>
      </c>
      <c r="F19" s="277">
        <v>3126</v>
      </c>
      <c r="G19" s="93">
        <v>44354</v>
      </c>
      <c r="H19" s="452">
        <v>25580</v>
      </c>
      <c r="I19" s="91" t="s">
        <v>530</v>
      </c>
    </row>
    <row r="20" ht="15.95" customHeight="1" spans="1:13">
      <c r="A20" s="70" t="s">
        <v>531</v>
      </c>
      <c r="H20" s="76">
        <f>SUM(H19:H19)</f>
        <v>25580</v>
      </c>
      <c r="M20" s="147"/>
    </row>
    <row r="21" spans="1:13">
      <c r="A21" s="448" t="s">
        <v>532</v>
      </c>
      <c r="B21" s="275" t="s">
        <v>513</v>
      </c>
      <c r="C21" s="79">
        <v>42284</v>
      </c>
      <c r="D21" s="78" t="s">
        <v>114</v>
      </c>
      <c r="E21" s="275" t="s">
        <v>103</v>
      </c>
      <c r="F21" s="275">
        <v>761083</v>
      </c>
      <c r="G21" s="92">
        <v>42633</v>
      </c>
      <c r="H21" s="449">
        <v>67913.54</v>
      </c>
      <c r="I21" s="82" t="s">
        <v>533</v>
      </c>
    </row>
    <row r="22" spans="1:13">
      <c r="A22" s="451" t="s">
        <v>532</v>
      </c>
      <c r="B22" s="277" t="s">
        <v>513</v>
      </c>
      <c r="C22" s="88">
        <v>42284</v>
      </c>
      <c r="D22" s="87" t="s">
        <v>114</v>
      </c>
      <c r="E22" s="277" t="s">
        <v>103</v>
      </c>
      <c r="F22" s="277">
        <v>761103</v>
      </c>
      <c r="G22" s="93">
        <v>42741</v>
      </c>
      <c r="H22" s="452">
        <v>59720</v>
      </c>
      <c r="I22" s="91" t="s">
        <v>534</v>
      </c>
    </row>
    <row r="23" spans="1:13">
      <c r="A23" s="70" t="s">
        <v>535</v>
      </c>
      <c r="H23" s="76">
        <f>SUM(H21:H22)</f>
        <v>127633.54</v>
      </c>
    </row>
    <row r="24" spans="1:13">
      <c r="A24" s="448" t="s">
        <v>536</v>
      </c>
      <c r="B24" s="275" t="s">
        <v>513</v>
      </c>
      <c r="C24" s="79">
        <v>41149</v>
      </c>
      <c r="D24" s="78" t="s">
        <v>114</v>
      </c>
      <c r="E24" s="275" t="s">
        <v>185</v>
      </c>
      <c r="F24" s="275">
        <v>103288</v>
      </c>
      <c r="G24" s="92">
        <v>41628</v>
      </c>
      <c r="H24" s="449">
        <v>10007.04</v>
      </c>
      <c r="I24" s="82" t="s">
        <v>537</v>
      </c>
    </row>
    <row r="25" spans="1:13">
      <c r="A25" s="451" t="s">
        <v>538</v>
      </c>
      <c r="B25" s="277" t="s">
        <v>513</v>
      </c>
      <c r="C25" s="88">
        <v>40967</v>
      </c>
      <c r="D25" s="87" t="s">
        <v>114</v>
      </c>
      <c r="E25" s="277" t="s">
        <v>115</v>
      </c>
      <c r="F25" s="277">
        <v>370237</v>
      </c>
      <c r="G25" s="93">
        <v>42663</v>
      </c>
      <c r="H25" s="452">
        <v>126752.28</v>
      </c>
      <c r="I25" s="91" t="s">
        <v>539</v>
      </c>
    </row>
    <row r="26" spans="1:13">
      <c r="A26" s="70" t="s">
        <v>540</v>
      </c>
      <c r="H26" s="76">
        <f>SUM(H24:H25)</f>
        <v>136759.32</v>
      </c>
    </row>
    <row r="27" spans="1:13">
      <c r="A27" s="448" t="s">
        <v>541</v>
      </c>
      <c r="B27" s="275" t="s">
        <v>513</v>
      </c>
      <c r="C27" s="79">
        <v>43189</v>
      </c>
      <c r="D27" s="78" t="s">
        <v>96</v>
      </c>
      <c r="E27" s="275" t="s">
        <v>115</v>
      </c>
      <c r="F27" s="275">
        <v>747875</v>
      </c>
      <c r="G27" s="92">
        <v>43536</v>
      </c>
      <c r="H27" s="449">
        <v>264862.6</v>
      </c>
      <c r="I27" s="82" t="s">
        <v>98</v>
      </c>
    </row>
    <row r="28" spans="1:13">
      <c r="A28" s="450" t="s">
        <v>541</v>
      </c>
      <c r="B28" s="26" t="s">
        <v>513</v>
      </c>
      <c r="C28" s="27">
        <v>43189</v>
      </c>
      <c r="D28" s="28" t="s">
        <v>96</v>
      </c>
      <c r="E28" s="26" t="s">
        <v>115</v>
      </c>
      <c r="F28" s="26">
        <v>747882</v>
      </c>
      <c r="G28" s="29">
        <v>43578</v>
      </c>
      <c r="H28" s="30">
        <v>200000</v>
      </c>
      <c r="I28" s="85" t="s">
        <v>98</v>
      </c>
    </row>
    <row r="29" spans="1:13">
      <c r="A29" s="450" t="s">
        <v>541</v>
      </c>
      <c r="B29" s="26" t="s">
        <v>513</v>
      </c>
      <c r="C29" s="27">
        <v>43217</v>
      </c>
      <c r="D29" s="28" t="s">
        <v>96</v>
      </c>
      <c r="E29" s="26" t="s">
        <v>115</v>
      </c>
      <c r="F29" s="26">
        <v>747883</v>
      </c>
      <c r="G29" s="29">
        <v>43595</v>
      </c>
      <c r="H29" s="30">
        <v>200000</v>
      </c>
      <c r="I29" s="85" t="s">
        <v>98</v>
      </c>
    </row>
    <row r="30" spans="1:13">
      <c r="A30" s="450" t="s">
        <v>541</v>
      </c>
      <c r="B30" s="26" t="s">
        <v>513</v>
      </c>
      <c r="C30" s="27">
        <v>43218</v>
      </c>
      <c r="D30" s="28" t="s">
        <v>96</v>
      </c>
      <c r="E30" s="26" t="s">
        <v>185</v>
      </c>
      <c r="F30" s="26">
        <v>600954</v>
      </c>
      <c r="G30" s="29">
        <v>43641</v>
      </c>
      <c r="H30" s="30">
        <v>142644.11</v>
      </c>
      <c r="I30" s="85" t="s">
        <v>98</v>
      </c>
    </row>
    <row r="31" spans="1:13">
      <c r="A31" s="450" t="s">
        <v>541</v>
      </c>
      <c r="B31" s="26" t="s">
        <v>513</v>
      </c>
      <c r="C31" s="27">
        <v>43251</v>
      </c>
      <c r="D31" s="28" t="s">
        <v>96</v>
      </c>
      <c r="E31" s="26" t="s">
        <v>115</v>
      </c>
      <c r="F31" s="26">
        <v>747916</v>
      </c>
      <c r="G31" s="29">
        <v>43564</v>
      </c>
      <c r="H31" s="30">
        <v>200000</v>
      </c>
      <c r="I31" s="85" t="s">
        <v>98</v>
      </c>
    </row>
    <row r="32" spans="1:13">
      <c r="A32" s="450" t="s">
        <v>541</v>
      </c>
      <c r="B32" s="26" t="s">
        <v>513</v>
      </c>
      <c r="C32" s="27">
        <v>43280</v>
      </c>
      <c r="D32" s="28" t="s">
        <v>96</v>
      </c>
      <c r="E32" s="26" t="s">
        <v>115</v>
      </c>
      <c r="F32" s="26">
        <v>747917</v>
      </c>
      <c r="G32" s="29">
        <v>43580</v>
      </c>
      <c r="H32" s="30">
        <v>243602.41</v>
      </c>
      <c r="I32" s="85" t="s">
        <v>98</v>
      </c>
    </row>
    <row r="33" spans="1:9">
      <c r="A33" s="450" t="s">
        <v>541</v>
      </c>
      <c r="B33" s="26" t="s">
        <v>513</v>
      </c>
      <c r="C33" s="27">
        <v>43372</v>
      </c>
      <c r="D33" s="28" t="s">
        <v>96</v>
      </c>
      <c r="E33" s="26" t="s">
        <v>185</v>
      </c>
      <c r="F33" s="26">
        <v>348986</v>
      </c>
      <c r="G33" s="29">
        <v>43633</v>
      </c>
      <c r="H33" s="30">
        <v>100000</v>
      </c>
      <c r="I33" s="85" t="s">
        <v>98</v>
      </c>
    </row>
    <row r="34" spans="1:9">
      <c r="A34" s="450" t="s">
        <v>541</v>
      </c>
      <c r="B34" s="26" t="s">
        <v>513</v>
      </c>
      <c r="C34" s="27">
        <v>43157</v>
      </c>
      <c r="D34" s="28" t="s">
        <v>96</v>
      </c>
      <c r="E34" s="26" t="s">
        <v>185</v>
      </c>
      <c r="F34" s="26">
        <v>600957</v>
      </c>
      <c r="G34" s="29">
        <v>43637</v>
      </c>
      <c r="H34" s="30">
        <v>243526</v>
      </c>
      <c r="I34" s="85" t="s">
        <v>98</v>
      </c>
    </row>
    <row r="35" spans="1:9">
      <c r="A35" s="454" t="s">
        <v>541</v>
      </c>
      <c r="B35" s="455" t="s">
        <v>513</v>
      </c>
      <c r="C35" s="456">
        <v>44301</v>
      </c>
      <c r="D35" s="457" t="s">
        <v>96</v>
      </c>
      <c r="E35" s="455" t="s">
        <v>106</v>
      </c>
      <c r="F35" s="455">
        <v>556</v>
      </c>
      <c r="G35" s="458">
        <v>44439</v>
      </c>
      <c r="H35" s="459">
        <v>21000</v>
      </c>
      <c r="I35" s="460" t="s">
        <v>98</v>
      </c>
    </row>
    <row r="36" spans="1:9">
      <c r="A36" s="461" t="s">
        <v>541</v>
      </c>
      <c r="B36" s="462" t="s">
        <v>513</v>
      </c>
      <c r="C36" s="463">
        <v>44301</v>
      </c>
      <c r="D36" s="464" t="s">
        <v>96</v>
      </c>
      <c r="E36" s="462" t="s">
        <v>106</v>
      </c>
      <c r="F36" s="462">
        <v>557</v>
      </c>
      <c r="G36" s="465">
        <v>44439</v>
      </c>
      <c r="H36" s="466">
        <v>20887.56</v>
      </c>
      <c r="I36" s="467" t="s">
        <v>98</v>
      </c>
    </row>
    <row r="37" spans="1:9">
      <c r="A37" s="70" t="s">
        <v>542</v>
      </c>
      <c r="H37" s="76">
        <f>SUM(H27:H36)</f>
        <v>1636522.68</v>
      </c>
    </row>
    <row r="38" spans="1:9">
      <c r="A38" s="377" t="s">
        <v>543</v>
      </c>
      <c r="B38" s="378" t="s">
        <v>513</v>
      </c>
      <c r="C38" s="15">
        <v>42606</v>
      </c>
      <c r="D38" s="14" t="s">
        <v>96</v>
      </c>
      <c r="E38" s="378" t="s">
        <v>119</v>
      </c>
      <c r="F38" s="378">
        <v>7070</v>
      </c>
      <c r="G38" s="379">
        <v>43854</v>
      </c>
      <c r="H38" s="380">
        <v>27420.96</v>
      </c>
      <c r="I38" s="381" t="s">
        <v>544</v>
      </c>
    </row>
    <row r="39" spans="1:9">
      <c r="A39" s="451" t="s">
        <v>545</v>
      </c>
      <c r="B39" s="277" t="s">
        <v>513</v>
      </c>
      <c r="C39" s="88">
        <v>43666</v>
      </c>
      <c r="D39" s="87" t="s">
        <v>114</v>
      </c>
      <c r="E39" s="277" t="s">
        <v>185</v>
      </c>
      <c r="F39" s="277">
        <v>148</v>
      </c>
      <c r="G39" s="93">
        <v>43915</v>
      </c>
      <c r="H39" s="452">
        <v>7500</v>
      </c>
      <c r="I39" s="91" t="s">
        <v>546</v>
      </c>
    </row>
    <row r="40" spans="1:9">
      <c r="A40" s="453" t="s">
        <v>547</v>
      </c>
      <c r="H40" s="76">
        <f>SUM(H39:H39)</f>
        <v>7500</v>
      </c>
    </row>
    <row r="41" spans="1:9">
      <c r="A41" s="448" t="s">
        <v>548</v>
      </c>
      <c r="B41" s="275" t="s">
        <v>513</v>
      </c>
      <c r="C41" s="79">
        <v>44385</v>
      </c>
      <c r="D41" s="78" t="s">
        <v>114</v>
      </c>
      <c r="E41" s="275" t="s">
        <v>106</v>
      </c>
      <c r="F41" s="275">
        <v>7230</v>
      </c>
      <c r="G41" s="92">
        <v>44385</v>
      </c>
      <c r="H41" s="449">
        <v>32619.84</v>
      </c>
      <c r="I41" s="82" t="s">
        <v>549</v>
      </c>
    </row>
    <row r="42" spans="1:9">
      <c r="A42" s="451" t="s">
        <v>548</v>
      </c>
      <c r="B42" s="277" t="s">
        <v>513</v>
      </c>
      <c r="C42" s="88">
        <v>44433</v>
      </c>
      <c r="D42" s="87" t="s">
        <v>114</v>
      </c>
      <c r="E42" s="277" t="s">
        <v>106</v>
      </c>
      <c r="F42" s="277">
        <v>7275</v>
      </c>
      <c r="G42" s="93">
        <v>44515</v>
      </c>
      <c r="H42" s="452">
        <v>10560</v>
      </c>
      <c r="I42" s="91" t="s">
        <v>549</v>
      </c>
    </row>
    <row r="43" spans="1:9">
      <c r="A43" s="70" t="s">
        <v>550</v>
      </c>
      <c r="H43" s="76">
        <f>SUM(H41:H42)</f>
        <v>43179.84</v>
      </c>
    </row>
    <row r="44" spans="1:9">
      <c r="A44" s="58" t="s">
        <v>551</v>
      </c>
      <c r="B44" s="228" t="s">
        <v>513</v>
      </c>
      <c r="C44" s="293">
        <v>45838</v>
      </c>
      <c r="D44" s="228" t="s">
        <v>96</v>
      </c>
      <c r="E44" s="228" t="s">
        <v>220</v>
      </c>
      <c r="F44" s="80" t="s">
        <v>552</v>
      </c>
      <c r="G44" s="293">
        <v>46001</v>
      </c>
      <c r="H44" s="346">
        <v>213</v>
      </c>
      <c r="I44" s="212" t="s">
        <v>553</v>
      </c>
    </row>
    <row r="45" spans="1:9">
      <c r="A45" s="64" t="s">
        <v>551</v>
      </c>
      <c r="B45" s="229" t="s">
        <v>513</v>
      </c>
      <c r="C45" s="295">
        <v>45875</v>
      </c>
      <c r="D45" s="229" t="s">
        <v>114</v>
      </c>
      <c r="E45" s="229" t="s">
        <v>106</v>
      </c>
      <c r="F45" s="89" t="s">
        <v>554</v>
      </c>
      <c r="G45" s="295">
        <v>46044</v>
      </c>
      <c r="H45" s="348">
        <v>223760.38</v>
      </c>
      <c r="I45" s="217" t="s">
        <v>98</v>
      </c>
    </row>
    <row r="46" spans="1:9">
      <c r="A46" s="19" t="s">
        <v>555</v>
      </c>
      <c r="B46" s="21"/>
      <c r="C46" s="22"/>
      <c r="D46" s="21"/>
      <c r="E46" s="21"/>
      <c r="F46" s="23"/>
      <c r="G46" s="22"/>
      <c r="H46" s="24">
        <f>SUM(H44:H45)</f>
        <v>223973.38</v>
      </c>
      <c r="I46" s="25"/>
    </row>
    <row r="47" spans="1:9">
      <c r="A47" s="219" t="s">
        <v>556</v>
      </c>
      <c r="B47" s="228" t="s">
        <v>513</v>
      </c>
      <c r="C47" s="293">
        <v>45846</v>
      </c>
      <c r="D47" s="228" t="s">
        <v>96</v>
      </c>
      <c r="E47" s="228" t="s">
        <v>97</v>
      </c>
      <c r="F47" s="80" t="s">
        <v>557</v>
      </c>
      <c r="G47" s="293">
        <v>46053</v>
      </c>
      <c r="H47" s="351">
        <v>99339.43</v>
      </c>
      <c r="I47" s="212" t="s">
        <v>558</v>
      </c>
    </row>
    <row r="48" spans="1:9">
      <c r="A48" s="207" t="s">
        <v>559</v>
      </c>
      <c r="B48" s="149" t="s">
        <v>513</v>
      </c>
      <c r="C48" s="150">
        <v>45428</v>
      </c>
      <c r="D48" s="149" t="s">
        <v>114</v>
      </c>
      <c r="E48" s="149" t="s">
        <v>115</v>
      </c>
      <c r="F48" s="16" t="s">
        <v>560</v>
      </c>
      <c r="G48" s="150">
        <v>46111</v>
      </c>
      <c r="H48" s="350">
        <v>21384</v>
      </c>
      <c r="I48" s="152" t="s">
        <v>98</v>
      </c>
    </row>
    <row r="49" spans="1:9">
      <c r="A49" s="58" t="s">
        <v>561</v>
      </c>
      <c r="B49" s="228" t="s">
        <v>513</v>
      </c>
      <c r="C49" s="293">
        <v>45440</v>
      </c>
      <c r="D49" s="228" t="s">
        <v>96</v>
      </c>
      <c r="E49" s="228" t="s">
        <v>115</v>
      </c>
      <c r="F49" s="80" t="s">
        <v>562</v>
      </c>
      <c r="G49" s="293">
        <v>45568</v>
      </c>
      <c r="H49" s="62">
        <v>52000</v>
      </c>
      <c r="I49" s="212" t="s">
        <v>563</v>
      </c>
    </row>
    <row r="50" spans="1:9">
      <c r="A50" s="223" t="s">
        <v>561</v>
      </c>
      <c r="B50" s="21" t="s">
        <v>513</v>
      </c>
      <c r="C50" s="22">
        <v>45470</v>
      </c>
      <c r="D50" s="21" t="s">
        <v>96</v>
      </c>
      <c r="E50" s="21" t="s">
        <v>115</v>
      </c>
      <c r="F50" s="23" t="s">
        <v>564</v>
      </c>
      <c r="G50" s="22">
        <v>45574</v>
      </c>
      <c r="H50" s="349">
        <v>42200</v>
      </c>
      <c r="I50" s="214" t="s">
        <v>563</v>
      </c>
    </row>
    <row r="51" spans="1:9">
      <c r="A51" s="223" t="s">
        <v>561</v>
      </c>
      <c r="B51" s="21" t="s">
        <v>513</v>
      </c>
      <c r="C51" s="22">
        <v>45470</v>
      </c>
      <c r="D51" s="21" t="s">
        <v>96</v>
      </c>
      <c r="E51" s="21" t="s">
        <v>115</v>
      </c>
      <c r="F51" s="23" t="s">
        <v>565</v>
      </c>
      <c r="G51" s="22">
        <v>45579</v>
      </c>
      <c r="H51" s="349">
        <v>42000</v>
      </c>
      <c r="I51" s="214" t="s">
        <v>563</v>
      </c>
    </row>
    <row r="52" spans="1:9">
      <c r="A52" s="223" t="s">
        <v>561</v>
      </c>
      <c r="B52" s="21" t="s">
        <v>513</v>
      </c>
      <c r="C52" s="22">
        <v>45470</v>
      </c>
      <c r="D52" s="21" t="s">
        <v>96</v>
      </c>
      <c r="E52" s="21" t="s">
        <v>115</v>
      </c>
      <c r="F52" s="23" t="s">
        <v>566</v>
      </c>
      <c r="G52" s="22">
        <v>45581</v>
      </c>
      <c r="H52" s="349">
        <v>42550</v>
      </c>
      <c r="I52" s="214" t="s">
        <v>563</v>
      </c>
    </row>
    <row r="53" spans="1:9">
      <c r="A53" s="223" t="s">
        <v>561</v>
      </c>
      <c r="B53" s="21" t="s">
        <v>513</v>
      </c>
      <c r="C53" s="22">
        <v>45483</v>
      </c>
      <c r="D53" s="21" t="s">
        <v>96</v>
      </c>
      <c r="E53" s="21" t="s">
        <v>115</v>
      </c>
      <c r="F53" s="23" t="s">
        <v>567</v>
      </c>
      <c r="G53" s="22">
        <v>45597</v>
      </c>
      <c r="H53" s="349">
        <v>42300</v>
      </c>
      <c r="I53" s="214" t="s">
        <v>563</v>
      </c>
    </row>
    <row r="54" spans="1:9">
      <c r="A54" s="223" t="s">
        <v>561</v>
      </c>
      <c r="B54" s="21" t="s">
        <v>513</v>
      </c>
      <c r="C54" s="22">
        <v>45483</v>
      </c>
      <c r="D54" s="21" t="s">
        <v>96</v>
      </c>
      <c r="E54" s="21" t="s">
        <v>115</v>
      </c>
      <c r="F54" s="23" t="s">
        <v>568</v>
      </c>
      <c r="G54" s="22">
        <v>45601</v>
      </c>
      <c r="H54" s="349">
        <v>42394</v>
      </c>
      <c r="I54" s="214" t="s">
        <v>563</v>
      </c>
    </row>
    <row r="55" spans="1:9">
      <c r="A55" s="64" t="s">
        <v>561</v>
      </c>
      <c r="B55" s="229" t="s">
        <v>513</v>
      </c>
      <c r="C55" s="295">
        <v>45483</v>
      </c>
      <c r="D55" s="229" t="s">
        <v>96</v>
      </c>
      <c r="E55" s="229" t="s">
        <v>115</v>
      </c>
      <c r="F55" s="89" t="s">
        <v>569</v>
      </c>
      <c r="G55" s="295">
        <v>45604</v>
      </c>
      <c r="H55" s="68">
        <v>42490</v>
      </c>
      <c r="I55" s="217" t="s">
        <v>563</v>
      </c>
    </row>
    <row r="56" spans="1:9">
      <c r="A56" s="19" t="s">
        <v>570</v>
      </c>
      <c r="B56" s="21"/>
      <c r="C56" s="22"/>
      <c r="D56" s="21"/>
      <c r="E56" s="21"/>
      <c r="F56" s="23"/>
      <c r="G56" s="22"/>
      <c r="H56" s="24">
        <f>SUM(H49:H55)</f>
        <v>305934</v>
      </c>
      <c r="I56" s="25"/>
    </row>
    <row r="57" spans="1:9">
      <c r="A57" s="219" t="s">
        <v>571</v>
      </c>
      <c r="B57" s="228" t="s">
        <v>513</v>
      </c>
      <c r="C57" s="293">
        <v>45975</v>
      </c>
      <c r="D57" s="228" t="s">
        <v>96</v>
      </c>
      <c r="E57" s="228" t="s">
        <v>103</v>
      </c>
      <c r="F57" s="80" t="s">
        <v>572</v>
      </c>
      <c r="G57" s="293">
        <v>46142</v>
      </c>
      <c r="H57" s="351">
        <v>15000</v>
      </c>
      <c r="I57" s="212" t="s">
        <v>416</v>
      </c>
    </row>
    <row r="58" spans="1:9">
      <c r="A58" s="468" t="s">
        <v>573</v>
      </c>
      <c r="B58" s="469" t="s">
        <v>513</v>
      </c>
      <c r="C58" s="470">
        <v>46128</v>
      </c>
      <c r="D58" s="469" t="s">
        <v>114</v>
      </c>
      <c r="E58" s="469" t="s">
        <v>192</v>
      </c>
      <c r="F58" s="471" t="s">
        <v>574</v>
      </c>
      <c r="G58" s="470">
        <v>46218</v>
      </c>
      <c r="H58" s="472">
        <v>60895.8</v>
      </c>
      <c r="I58" s="473" t="s">
        <v>98</v>
      </c>
    </row>
    <row r="59" spans="1:9">
      <c r="A59" s="316" t="s">
        <v>573</v>
      </c>
      <c r="B59" s="317" t="s">
        <v>513</v>
      </c>
      <c r="C59" s="318">
        <v>46087</v>
      </c>
      <c r="D59" s="317" t="s">
        <v>114</v>
      </c>
      <c r="E59" s="317" t="s">
        <v>103</v>
      </c>
      <c r="F59" s="319" t="s">
        <v>575</v>
      </c>
      <c r="G59" s="318">
        <v>46195</v>
      </c>
      <c r="H59" s="474">
        <v>71696</v>
      </c>
      <c r="I59" s="321" t="s">
        <v>576</v>
      </c>
    </row>
    <row r="60" spans="1:9">
      <c r="A60" s="19" t="s">
        <v>577</v>
      </c>
      <c r="B60" s="21"/>
      <c r="C60" s="22"/>
      <c r="D60" s="21"/>
      <c r="E60" s="21"/>
      <c r="F60" s="23"/>
      <c r="G60" s="22"/>
      <c r="H60" s="24">
        <f>SUM(H58:H59)</f>
        <v>132591.8</v>
      </c>
      <c r="I60" s="25"/>
    </row>
    <row r="61" spans="1:9">
      <c r="A61" s="361" t="s">
        <v>578</v>
      </c>
      <c r="B61" s="362" t="s">
        <v>513</v>
      </c>
      <c r="C61" s="363"/>
      <c r="D61" s="362" t="s">
        <v>114</v>
      </c>
      <c r="E61" s="362" t="s">
        <v>106</v>
      </c>
      <c r="F61" s="364" t="s">
        <v>579</v>
      </c>
      <c r="G61" s="363">
        <v>46230</v>
      </c>
      <c r="H61" s="365">
        <v>176953.6</v>
      </c>
      <c r="I61" s="366" t="s">
        <v>98</v>
      </c>
    </row>
    <row r="62" spans="1:9">
      <c r="A62" s="19"/>
      <c r="B62" s="21"/>
      <c r="C62" s="22"/>
      <c r="D62" s="21"/>
      <c r="E62" s="21"/>
      <c r="F62" s="23"/>
      <c r="G62" s="22"/>
      <c r="H62" s="24"/>
      <c r="I62" s="25"/>
    </row>
    <row r="63" ht="18.35" spans="1:9">
      <c r="A63" s="19"/>
      <c r="B63" s="21"/>
      <c r="C63" s="22"/>
      <c r="D63" s="21"/>
      <c r="E63" s="21"/>
      <c r="F63" s="23"/>
      <c r="G63" s="22"/>
      <c r="H63" s="24"/>
      <c r="I63" s="25"/>
    </row>
    <row r="64" ht="23.95" spans="1:9">
      <c r="A64" s="475"/>
      <c r="C64" s="32" t="s">
        <v>580</v>
      </c>
      <c r="D64" s="33"/>
      <c r="E64" s="33"/>
      <c r="F64" s="33"/>
      <c r="G64" s="34"/>
      <c r="H64" s="35">
        <f>H12+H15+H16+H17+H18+H20+H23+H26+H37+H38+H40+H43+H46+H47+H48+H56+H57+H60+H61</f>
        <v>3524107.08</v>
      </c>
      <c r="I64" s="36"/>
    </row>
    <row r="65" ht="21.15" spans="1:9">
      <c r="I65" s="476"/>
    </row>
    <row r="66" spans="1:9">
      <c r="C66" s="477" t="s">
        <v>581</v>
      </c>
      <c r="D66" s="478"/>
      <c r="E66" s="478"/>
      <c r="F66" s="478"/>
      <c r="G66" s="479"/>
      <c r="H66" s="480">
        <v>3275457.48</v>
      </c>
      <c r="I66" s="369">
        <f>+($H$64-H66)/H66</f>
        <v>0.075912937816552</v>
      </c>
    </row>
    <row r="67" spans="1:9">
      <c r="C67" s="481" t="s">
        <v>582</v>
      </c>
      <c r="D67" s="482"/>
      <c r="E67" s="482"/>
      <c r="F67" s="482"/>
      <c r="G67" s="483"/>
      <c r="H67" s="484">
        <v>3478371.22</v>
      </c>
      <c r="I67" s="485">
        <f>+($H$64-H67)/H67</f>
        <v>0.013148642599452</v>
      </c>
    </row>
    <row r="68" ht="18.35" spans="1:9">
      <c r="C68" s="481" t="s">
        <v>583</v>
      </c>
      <c r="D68" s="482"/>
      <c r="E68" s="482"/>
      <c r="F68" s="482"/>
      <c r="G68" s="483"/>
      <c r="H68" s="486">
        <v>3550067.22</v>
      </c>
      <c r="I68" s="334">
        <f>+($H$64-H68)/H68</f>
        <v>-0.00731257702776685</v>
      </c>
    </row>
    <row r="69" spans="1:9">
      <c r="I69" s="30"/>
    </row>
    <row r="70" spans="1:9">
      <c r="A70" s="28"/>
      <c r="B70" s="28"/>
    </row>
    <row r="72" spans="1:9">
      <c r="B72" s="487"/>
      <c r="C72" s="27" t="s">
        <v>510</v>
      </c>
    </row>
    <row r="74" spans="1:9">
      <c r="D74" s="488" t="s">
        <v>584</v>
      </c>
      <c r="E74" s="488"/>
      <c r="F74" s="488"/>
    </row>
    <row r="75" ht="1.5" customHeight="1" spans="1:9">
      <c r="C75" s="489">
        <v>44987</v>
      </c>
      <c r="D75" s="490">
        <v>2932328.04</v>
      </c>
      <c r="E75" s="17"/>
      <c r="F75" s="491"/>
    </row>
    <row r="76" spans="1:9">
      <c r="C76" s="489">
        <v>45449</v>
      </c>
      <c r="D76" s="490">
        <v>2767814.08</v>
      </c>
      <c r="E76" s="17"/>
      <c r="F76" s="491"/>
    </row>
    <row r="77" spans="1:9">
      <c r="C77" s="489">
        <v>45456</v>
      </c>
      <c r="D77" s="490">
        <v>2853842.08</v>
      </c>
      <c r="E77" s="17"/>
      <c r="F77" s="491"/>
    </row>
    <row r="78" spans="1:9">
      <c r="C78" s="489">
        <v>45463</v>
      </c>
      <c r="D78" s="490">
        <v>3153946.08</v>
      </c>
      <c r="E78" s="17"/>
      <c r="F78" s="491"/>
    </row>
    <row r="79" spans="1:9">
      <c r="C79" s="489">
        <v>45470</v>
      </c>
      <c r="D79" s="490">
        <v>3153946.08</v>
      </c>
      <c r="E79" s="17"/>
      <c r="F79" s="491"/>
    </row>
    <row r="80" spans="1:9">
      <c r="C80" s="489">
        <v>45477</v>
      </c>
      <c r="D80" s="490">
        <v>2951893.98</v>
      </c>
      <c r="E80" s="17"/>
      <c r="F80" s="491"/>
    </row>
    <row r="81" spans="3:6">
      <c r="C81" s="489">
        <v>45484</v>
      </c>
      <c r="D81" s="490">
        <v>2878338.68</v>
      </c>
      <c r="E81" s="17"/>
      <c r="F81" s="491"/>
    </row>
    <row r="82" spans="3:6">
      <c r="C82" s="489">
        <v>45491</v>
      </c>
      <c r="D82" s="490">
        <v>2827597.48</v>
      </c>
      <c r="E82" s="17"/>
      <c r="F82" s="491"/>
    </row>
    <row r="83" spans="3:6">
      <c r="C83" s="489">
        <v>45498</v>
      </c>
      <c r="D83" s="490">
        <v>2803725.48</v>
      </c>
      <c r="E83" s="17"/>
      <c r="F83" s="491"/>
    </row>
    <row r="84" spans="3:6">
      <c r="C84" s="489">
        <v>45505</v>
      </c>
      <c r="D84" s="490">
        <v>2893725.48</v>
      </c>
      <c r="E84" s="17"/>
      <c r="F84" s="491"/>
    </row>
    <row r="85" spans="3:6">
      <c r="C85" s="489">
        <v>45512</v>
      </c>
      <c r="D85" s="490">
        <v>3220504.53</v>
      </c>
      <c r="E85" s="17"/>
      <c r="F85" s="491"/>
    </row>
    <row r="86" spans="3:6">
      <c r="C86" s="489">
        <v>45519</v>
      </c>
      <c r="D86" s="490">
        <v>3227270.63</v>
      </c>
      <c r="E86" s="17"/>
      <c r="F86" s="491"/>
    </row>
    <row r="87" spans="3:6">
      <c r="C87" s="489">
        <v>45547</v>
      </c>
      <c r="D87" s="490">
        <v>3414317.83</v>
      </c>
      <c r="E87" s="17"/>
      <c r="F87" s="491"/>
    </row>
    <row r="88" spans="3:6">
      <c r="C88" s="489">
        <v>45554</v>
      </c>
      <c r="D88" s="490">
        <v>3467764.54</v>
      </c>
      <c r="E88" s="17"/>
      <c r="F88" s="491"/>
    </row>
    <row r="89" spans="3:6">
      <c r="C89" s="489">
        <v>45561</v>
      </c>
      <c r="D89" s="490">
        <v>3647571.54</v>
      </c>
      <c r="E89" s="17"/>
      <c r="F89" s="491"/>
    </row>
    <row r="90" spans="3:6">
      <c r="C90" s="489">
        <v>45568</v>
      </c>
      <c r="D90" s="490">
        <v>3741129.05</v>
      </c>
      <c r="E90" s="17"/>
      <c r="F90" s="491"/>
    </row>
    <row r="91" spans="3:6">
      <c r="C91" s="489">
        <v>45575</v>
      </c>
      <c r="D91" s="490">
        <v>3631573.35</v>
      </c>
      <c r="E91" s="17"/>
      <c r="F91" s="491"/>
    </row>
    <row r="92" spans="3:6">
      <c r="C92" s="489">
        <v>45582</v>
      </c>
      <c r="D92" s="490">
        <v>3321130.69</v>
      </c>
      <c r="E92" s="17"/>
      <c r="F92" s="491"/>
    </row>
    <row r="93" spans="3:6">
      <c r="C93" s="489">
        <v>45589</v>
      </c>
      <c r="D93" s="490">
        <v>3138162.35</v>
      </c>
      <c r="E93" s="17"/>
      <c r="F93" s="491"/>
    </row>
    <row r="94" spans="3:6">
      <c r="C94" s="489">
        <v>45596</v>
      </c>
      <c r="D94" s="490">
        <v>3475930.63</v>
      </c>
      <c r="E94" s="17"/>
      <c r="F94" s="491"/>
    </row>
    <row r="95" spans="3:6">
      <c r="C95" s="489">
        <v>45603</v>
      </c>
      <c r="D95" s="490">
        <v>3475930.63</v>
      </c>
      <c r="E95" s="17"/>
      <c r="F95" s="491"/>
    </row>
    <row r="96" spans="3:6">
      <c r="C96" s="489">
        <v>45610</v>
      </c>
      <c r="D96" s="490">
        <v>3226421.78</v>
      </c>
      <c r="E96" s="17"/>
      <c r="F96" s="491"/>
    </row>
    <row r="97" spans="3:6">
      <c r="C97" s="489">
        <v>45617</v>
      </c>
      <c r="D97" s="490">
        <v>3271421.78</v>
      </c>
      <c r="E97" s="17"/>
      <c r="F97" s="491"/>
    </row>
    <row r="98" spans="3:6">
      <c r="C98" s="489">
        <v>45624</v>
      </c>
      <c r="D98" s="490">
        <v>3392220.88</v>
      </c>
      <c r="E98" s="17"/>
      <c r="F98" s="491"/>
    </row>
    <row r="99" spans="3:6">
      <c r="C99" s="489">
        <v>45631</v>
      </c>
      <c r="D99" s="490">
        <v>3354666.92</v>
      </c>
      <c r="E99" s="17"/>
      <c r="F99" s="491"/>
    </row>
    <row r="100" spans="3:6">
      <c r="C100" s="489">
        <v>45638</v>
      </c>
      <c r="D100" s="490">
        <v>3354666.92</v>
      </c>
      <c r="E100" s="17"/>
      <c r="F100" s="491"/>
    </row>
    <row r="101" spans="3:6">
      <c r="C101" s="489">
        <v>45645</v>
      </c>
      <c r="D101" s="490">
        <v>3038828.18</v>
      </c>
      <c r="E101" s="17"/>
      <c r="F101" s="491"/>
    </row>
    <row r="102" spans="3:6">
      <c r="C102" s="489">
        <v>45652</v>
      </c>
      <c r="D102" s="490">
        <v>3068577.78</v>
      </c>
      <c r="E102" s="17"/>
      <c r="F102" s="491"/>
    </row>
    <row r="103" spans="3:6">
      <c r="C103" s="489">
        <v>45659</v>
      </c>
      <c r="D103" s="490">
        <v>3007415.78</v>
      </c>
      <c r="E103" s="17"/>
      <c r="F103" s="491"/>
    </row>
    <row r="104" spans="3:6">
      <c r="C104" s="489">
        <v>45666</v>
      </c>
      <c r="D104" s="490">
        <v>2828363.88</v>
      </c>
      <c r="E104" s="17"/>
      <c r="F104" s="491"/>
    </row>
    <row r="105" spans="3:6">
      <c r="C105" s="489">
        <v>45673</v>
      </c>
      <c r="D105" s="490">
        <v>2777363.88</v>
      </c>
      <c r="E105" s="17"/>
      <c r="F105" s="491"/>
    </row>
    <row r="106" spans="3:6">
      <c r="C106" s="489">
        <v>45680</v>
      </c>
      <c r="D106" s="490">
        <v>3005701.88</v>
      </c>
      <c r="E106" s="17"/>
      <c r="F106" s="491"/>
    </row>
    <row r="107" spans="3:6">
      <c r="C107" s="489">
        <v>45687</v>
      </c>
      <c r="D107" s="490">
        <v>2930044.88</v>
      </c>
      <c r="E107" s="17"/>
      <c r="F107" s="491"/>
    </row>
    <row r="108" spans="3:6">
      <c r="C108" s="489">
        <v>45694</v>
      </c>
      <c r="D108" s="490">
        <v>2930044.88</v>
      </c>
      <c r="E108" s="17"/>
      <c r="F108" s="491"/>
    </row>
    <row r="109" spans="3:6">
      <c r="C109" s="489">
        <v>45701</v>
      </c>
      <c r="D109" s="490">
        <v>3015480.88</v>
      </c>
      <c r="E109" s="17"/>
      <c r="F109" s="491"/>
    </row>
    <row r="110" spans="3:6">
      <c r="C110" s="489">
        <v>45708</v>
      </c>
      <c r="D110" s="490">
        <v>2959420.88</v>
      </c>
      <c r="E110" s="17"/>
      <c r="F110" s="491"/>
    </row>
    <row r="111" spans="3:6">
      <c r="C111" s="489">
        <v>45715</v>
      </c>
      <c r="D111" s="490">
        <v>2872984.88</v>
      </c>
      <c r="E111" s="17"/>
      <c r="F111" s="491"/>
    </row>
    <row r="112" spans="3:6">
      <c r="C112" s="489">
        <v>45722</v>
      </c>
      <c r="D112" s="492">
        <v>2812741.88</v>
      </c>
      <c r="E112" s="492"/>
      <c r="F112" s="492"/>
    </row>
    <row r="113" spans="3:6">
      <c r="C113" s="489">
        <v>45730</v>
      </c>
      <c r="D113" s="492">
        <v>2886741.88</v>
      </c>
      <c r="E113" s="492"/>
      <c r="F113" s="492"/>
    </row>
    <row r="114" spans="3:6">
      <c r="C114" s="489">
        <v>45736</v>
      </c>
      <c r="D114" s="490">
        <v>2809741.88</v>
      </c>
      <c r="E114" s="17"/>
      <c r="F114" s="491"/>
    </row>
    <row r="115" spans="3:6">
      <c r="C115" s="489">
        <v>45743</v>
      </c>
      <c r="D115" s="490">
        <v>2799049.88</v>
      </c>
      <c r="E115" s="17"/>
      <c r="F115" s="491"/>
    </row>
    <row r="116" spans="3:6">
      <c r="C116" s="489">
        <v>45750</v>
      </c>
      <c r="D116" s="490">
        <v>2799049.88</v>
      </c>
      <c r="E116" s="17"/>
      <c r="F116" s="491"/>
    </row>
    <row r="117" spans="3:6">
      <c r="C117" s="489">
        <v>45757</v>
      </c>
      <c r="D117" s="490">
        <v>2773249.88</v>
      </c>
      <c r="E117" s="17"/>
      <c r="F117" s="491"/>
    </row>
    <row r="118" spans="3:6">
      <c r="C118" s="489">
        <v>45764</v>
      </c>
      <c r="D118" s="490">
        <v>2798249.88</v>
      </c>
      <c r="E118" s="17"/>
      <c r="F118" s="491"/>
    </row>
    <row r="119" spans="3:6">
      <c r="C119" s="489">
        <v>45771</v>
      </c>
      <c r="D119" s="490">
        <v>2922121.5</v>
      </c>
      <c r="E119" s="17"/>
      <c r="F119" s="491"/>
    </row>
    <row r="120" spans="3:6">
      <c r="C120" s="489">
        <v>45779</v>
      </c>
      <c r="D120" s="490">
        <v>2790514.82</v>
      </c>
      <c r="E120" s="17"/>
      <c r="F120" s="491"/>
    </row>
    <row r="121" spans="3:6">
      <c r="C121" s="489">
        <v>45792</v>
      </c>
      <c r="D121" s="490">
        <v>2902202.62</v>
      </c>
      <c r="E121" s="17"/>
      <c r="F121" s="491"/>
    </row>
    <row r="122" spans="3:6">
      <c r="C122" s="489">
        <v>45799</v>
      </c>
      <c r="D122" s="490">
        <v>2774642.62</v>
      </c>
      <c r="E122" s="17"/>
      <c r="F122" s="491"/>
    </row>
    <row r="123" spans="3:6">
      <c r="C123" s="489">
        <v>45806</v>
      </c>
      <c r="D123" s="490">
        <v>2825142.62</v>
      </c>
      <c r="E123" s="17"/>
      <c r="F123" s="491"/>
    </row>
    <row r="124" spans="3:6">
      <c r="C124" s="489">
        <v>45820</v>
      </c>
      <c r="D124" s="490">
        <v>2916922.87</v>
      </c>
      <c r="E124" s="17"/>
      <c r="F124" s="491"/>
    </row>
    <row r="125" spans="3:6">
      <c r="C125" s="489">
        <v>45827</v>
      </c>
      <c r="D125" s="490">
        <v>2956234.47</v>
      </c>
      <c r="E125" s="17"/>
      <c r="F125" s="491"/>
    </row>
    <row r="126" spans="3:6">
      <c r="C126" s="489">
        <v>45842</v>
      </c>
      <c r="D126" s="490">
        <v>2830647.25</v>
      </c>
      <c r="E126" s="17"/>
      <c r="F126" s="491"/>
    </row>
    <row r="127" spans="3:6">
      <c r="C127" s="489">
        <v>45848</v>
      </c>
      <c r="D127" s="490">
        <v>2674766.44</v>
      </c>
      <c r="E127" s="17"/>
      <c r="F127" s="491"/>
    </row>
    <row r="128" spans="3:6">
      <c r="C128" s="489">
        <v>45856</v>
      </c>
      <c r="D128" s="490">
        <v>2924819.25</v>
      </c>
      <c r="E128" s="17"/>
      <c r="F128" s="491"/>
    </row>
    <row r="129" spans="3:6">
      <c r="C129" s="489">
        <v>45863</v>
      </c>
      <c r="D129" s="490">
        <v>2611982.87</v>
      </c>
      <c r="E129" s="17"/>
      <c r="F129" s="491"/>
    </row>
    <row r="130" spans="3:6">
      <c r="C130" s="489">
        <v>45880</v>
      </c>
      <c r="D130" s="490">
        <v>2911848.44</v>
      </c>
      <c r="E130" s="17"/>
      <c r="F130" s="491"/>
    </row>
    <row r="131" spans="3:6">
      <c r="C131" s="489">
        <v>45891</v>
      </c>
      <c r="D131" s="490">
        <v>2832606.44</v>
      </c>
      <c r="E131" s="17"/>
      <c r="F131" s="491"/>
    </row>
    <row r="132" spans="3:6">
      <c r="C132" s="489">
        <v>45919</v>
      </c>
      <c r="D132" s="490">
        <v>3186853.64</v>
      </c>
      <c r="E132" s="17"/>
      <c r="F132" s="491"/>
    </row>
    <row r="133" spans="3:6">
      <c r="C133" s="489">
        <v>45925</v>
      </c>
      <c r="D133" s="490">
        <v>3171853.64</v>
      </c>
      <c r="E133" s="17"/>
      <c r="F133" s="491"/>
    </row>
    <row r="134" spans="3:6">
      <c r="C134" s="489">
        <v>45933</v>
      </c>
      <c r="D134" s="490">
        <v>3273053.64</v>
      </c>
      <c r="E134" s="17"/>
      <c r="F134" s="491"/>
    </row>
    <row r="135" spans="3:6">
      <c r="C135" s="489">
        <v>45940</v>
      </c>
      <c r="D135" s="490">
        <v>2957264.87</v>
      </c>
      <c r="E135" s="17"/>
      <c r="F135" s="491"/>
    </row>
    <row r="136" spans="3:6">
      <c r="C136" s="489">
        <v>45947</v>
      </c>
      <c r="D136" s="490">
        <v>3187485.37</v>
      </c>
      <c r="E136" s="17"/>
      <c r="F136" s="491"/>
    </row>
    <row r="137" spans="3:6">
      <c r="C137" s="489">
        <v>45952</v>
      </c>
      <c r="D137" s="490">
        <v>2714993.37</v>
      </c>
      <c r="E137" s="17"/>
      <c r="F137" s="491"/>
    </row>
    <row r="138" spans="3:6">
      <c r="C138" s="489">
        <v>45961</v>
      </c>
      <c r="D138" s="490">
        <v>3003871.37</v>
      </c>
      <c r="E138" s="17"/>
      <c r="F138" s="491"/>
    </row>
    <row r="139" spans="3:6">
      <c r="C139" s="489">
        <v>45968</v>
      </c>
      <c r="D139" s="490">
        <v>2923871.37</v>
      </c>
      <c r="E139" s="17"/>
      <c r="F139" s="491"/>
    </row>
    <row r="140" spans="3:6">
      <c r="C140" s="489">
        <v>45975</v>
      </c>
      <c r="D140" s="490">
        <v>2899292.73</v>
      </c>
      <c r="E140" s="17"/>
      <c r="F140" s="491"/>
    </row>
    <row r="141" spans="3:6">
      <c r="C141" s="489">
        <v>45982</v>
      </c>
      <c r="D141" s="492">
        <v>3174387.03</v>
      </c>
      <c r="E141" s="492"/>
      <c r="F141" s="492"/>
    </row>
    <row r="142" spans="3:6">
      <c r="C142" s="489">
        <v>45989</v>
      </c>
      <c r="D142" s="492">
        <v>3174387.03</v>
      </c>
      <c r="E142" s="492"/>
      <c r="F142" s="492"/>
    </row>
    <row r="143" spans="3:6">
      <c r="C143" s="489">
        <v>45996</v>
      </c>
      <c r="D143" s="490">
        <v>3170427.26</v>
      </c>
      <c r="E143" s="17"/>
      <c r="F143" s="491"/>
    </row>
    <row r="144" spans="3:6">
      <c r="C144" s="489">
        <v>46003</v>
      </c>
      <c r="D144" s="490">
        <v>3114167.26</v>
      </c>
      <c r="E144" s="17"/>
      <c r="F144" s="491"/>
    </row>
    <row r="145" spans="3:6">
      <c r="C145" s="489">
        <v>46010</v>
      </c>
      <c r="D145" s="490">
        <v>3139167.26</v>
      </c>
      <c r="E145" s="17"/>
      <c r="F145" s="491"/>
    </row>
    <row r="146" spans="3:6">
      <c r="C146" s="489">
        <v>46017</v>
      </c>
      <c r="D146" s="490">
        <v>3200941.14</v>
      </c>
      <c r="E146" s="17"/>
      <c r="F146" s="491"/>
    </row>
    <row r="147" spans="3:6">
      <c r="C147" s="489">
        <v>46030</v>
      </c>
      <c r="D147" s="490">
        <v>3270504.44</v>
      </c>
      <c r="E147" s="17"/>
      <c r="F147" s="491"/>
    </row>
    <row r="148" spans="3:6">
      <c r="C148" s="489">
        <v>46042</v>
      </c>
      <c r="D148" s="490">
        <v>3262692.58</v>
      </c>
      <c r="E148" s="17"/>
      <c r="F148" s="491"/>
    </row>
    <row r="149" spans="3:6">
      <c r="C149" s="489">
        <v>46051</v>
      </c>
      <c r="D149" s="490">
        <v>3084564.81</v>
      </c>
      <c r="E149" s="17"/>
      <c r="F149" s="491"/>
    </row>
    <row r="150" spans="3:6">
      <c r="C150" s="489">
        <v>46066</v>
      </c>
      <c r="D150" s="490">
        <v>3479106.44</v>
      </c>
      <c r="E150" s="17"/>
      <c r="F150" s="491"/>
    </row>
    <row r="151" spans="3:6">
      <c r="C151" s="489">
        <v>46080</v>
      </c>
      <c r="D151" s="490">
        <v>3490964.73</v>
      </c>
      <c r="E151" s="17"/>
      <c r="F151" s="491"/>
    </row>
    <row r="152" spans="3:6">
      <c r="C152" s="489">
        <v>46087</v>
      </c>
      <c r="D152" s="490">
        <v>3554584.83</v>
      </c>
      <c r="E152" s="17"/>
      <c r="F152" s="491"/>
    </row>
    <row r="153" spans="3:6">
      <c r="C153" s="489">
        <v>46094</v>
      </c>
      <c r="D153" s="490">
        <v>3626474.76</v>
      </c>
      <c r="E153" s="17"/>
      <c r="F153" s="491"/>
    </row>
    <row r="154" spans="3:6">
      <c r="C154" s="489">
        <v>46114</v>
      </c>
      <c r="D154" s="490">
        <v>3560694.18</v>
      </c>
      <c r="E154" s="17"/>
      <c r="F154" s="491"/>
    </row>
    <row r="155" spans="3:6">
      <c r="C155" s="489">
        <v>46125</v>
      </c>
      <c r="D155" s="490">
        <v>3705449.11</v>
      </c>
      <c r="E155" s="17"/>
      <c r="F155" s="491"/>
    </row>
    <row r="156" spans="3:6">
      <c r="C156" s="489">
        <v>46136</v>
      </c>
      <c r="D156" s="490">
        <v>3592623.21</v>
      </c>
      <c r="E156" s="17"/>
      <c r="F156" s="491"/>
    </row>
    <row r="157" spans="3:6">
      <c r="C157" s="489">
        <v>46150</v>
      </c>
      <c r="D157" s="490">
        <v>3647623.21</v>
      </c>
      <c r="E157" s="17"/>
      <c r="F157" s="491"/>
    </row>
    <row r="158" spans="3:6">
      <c r="C158" s="489">
        <v>46157</v>
      </c>
      <c r="D158" s="490">
        <v>3965911.13</v>
      </c>
      <c r="E158" s="17"/>
      <c r="F158" s="491"/>
    </row>
    <row r="159" spans="3:6">
      <c r="C159" s="489">
        <v>46177</v>
      </c>
      <c r="D159" s="490">
        <v>3936674.25</v>
      </c>
      <c r="E159" s="17"/>
      <c r="F159" s="491"/>
    </row>
    <row r="160" spans="3:6">
      <c r="C160" s="489">
        <v>46185</v>
      </c>
      <c r="D160" s="490">
        <v>3991005.45</v>
      </c>
      <c r="E160" s="17"/>
      <c r="F160" s="491"/>
    </row>
    <row r="161" spans="3:6">
      <c r="C161" s="489">
        <v>46192</v>
      </c>
      <c r="D161" s="490">
        <v>3782521.52</v>
      </c>
      <c r="E161" s="17"/>
      <c r="F161" s="491"/>
    </row>
    <row r="162" spans="3:6">
      <c r="C162" s="489">
        <v>46199</v>
      </c>
      <c r="D162" s="490">
        <v>3533371.22</v>
      </c>
      <c r="E162" s="17"/>
      <c r="F162" s="491"/>
    </row>
    <row r="163" spans="3:6">
      <c r="C163" s="489">
        <v>46206</v>
      </c>
      <c r="D163" s="490">
        <v>3605067.22</v>
      </c>
      <c r="E163" s="17"/>
      <c r="F163" s="491"/>
    </row>
    <row r="164" spans="3:6">
      <c r="C164" s="489">
        <v>46213</v>
      </c>
      <c r="D164" s="490">
        <v>3550067.22</v>
      </c>
      <c r="E164" s="17"/>
      <c r="F164" s="491"/>
    </row>
    <row r="165" spans="3:6">
      <c r="C165" s="489">
        <v>46220</v>
      </c>
      <c r="D165" s="490">
        <v>3478371.22</v>
      </c>
      <c r="E165" s="17"/>
      <c r="F165" s="491"/>
    </row>
    <row r="166" spans="3:6">
      <c r="C166" s="489">
        <v>46227</v>
      </c>
      <c r="D166" s="490">
        <v>3275457.48</v>
      </c>
      <c r="E166" s="17"/>
      <c r="F166" s="491"/>
    </row>
    <row r="167" spans="3:6">
      <c r="C167" s="489">
        <v>46234</v>
      </c>
      <c r="D167" s="490">
        <v>3524107.08</v>
      </c>
      <c r="E167" s="17"/>
      <c r="F167" s="491"/>
    </row>
  </sheetData>
  <autoFilter xmlns:etc="http://www.wps.cn/officeDocument/2017/etCustomData" ref="A4:I61" etc:filterBottomFollowUsedRange="0">
    <extLst/>
  </autoFilter>
  <mergeCells count="100">
    <mergeCell ref="B2:G2"/>
    <mergeCell ref="C64:G64"/>
    <mergeCell ref="H64:I64"/>
    <mergeCell ref="C66:G66"/>
    <mergeCell ref="C67:G67"/>
    <mergeCell ref="C68:G68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</mergeCells>
  <pageMargins left="0.75" right="0.75" top="1" bottom="1" header="0.5" footer="0.5"/>
  <pageSetup paperSize="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"/>
  <sheetViews>
    <sheetView workbookViewId="0">
      <selection activeCell="A14" sqref="A14"/>
    </sheetView>
  </sheetViews>
  <sheetFormatPr defaultColWidth="11" defaultRowHeight="17.6"/>
  <cols>
    <col min="1" max="1" width="22.875" customWidth="1"/>
    <col min="2" max="2" width="5.375" customWidth="1"/>
    <col min="3" max="3" width="9.5" style="5" customWidth="1"/>
    <col min="4" max="4" width="2.875" customWidth="1"/>
    <col min="5" max="5" width="5.875" customWidth="1"/>
    <col min="6" max="6" width="6.125" customWidth="1"/>
    <col min="7" max="7" width="11.375" style="5" customWidth="1"/>
    <col min="8" max="8" width="11.5" style="4" customWidth="1"/>
    <col min="9" max="9" width="27.5" customWidth="1"/>
  </cols>
  <sheetData>
    <row r="1" ht="18.35"/>
    <row r="2" ht="18.35" spans="1:9">
      <c r="C2" s="431" t="s">
        <v>585</v>
      </c>
      <c r="D2" s="432"/>
      <c r="E2" s="432"/>
      <c r="F2" s="432"/>
      <c r="G2" s="433"/>
    </row>
    <row r="4" ht="18.35"/>
    <row r="5" ht="18.35" spans="1:9">
      <c r="A5" s="139" t="s">
        <v>85</v>
      </c>
      <c r="B5" s="142" t="s">
        <v>86</v>
      </c>
      <c r="C5" s="141" t="s">
        <v>87</v>
      </c>
      <c r="D5" s="142" t="s">
        <v>88</v>
      </c>
      <c r="E5" s="142" t="s">
        <v>89</v>
      </c>
      <c r="F5" s="142" t="s">
        <v>90</v>
      </c>
      <c r="G5" s="144" t="s">
        <v>91</v>
      </c>
      <c r="H5" s="145" t="s">
        <v>92</v>
      </c>
      <c r="I5" s="146" t="s">
        <v>93</v>
      </c>
    </row>
    <row r="6" spans="1:9">
      <c r="A6" s="434" t="s">
        <v>586</v>
      </c>
      <c r="B6" s="277" t="s">
        <v>587</v>
      </c>
      <c r="C6" s="88">
        <v>40014</v>
      </c>
      <c r="D6" s="277" t="s">
        <v>96</v>
      </c>
      <c r="E6" s="277" t="s">
        <v>97</v>
      </c>
      <c r="F6" s="277">
        <v>4086</v>
      </c>
      <c r="G6" s="93">
        <v>40877</v>
      </c>
      <c r="H6" s="376">
        <v>52192</v>
      </c>
      <c r="I6" s="91" t="s">
        <v>588</v>
      </c>
    </row>
    <row r="7" spans="1:9">
      <c r="A7" s="377" t="s">
        <v>589</v>
      </c>
      <c r="B7" s="378" t="s">
        <v>587</v>
      </c>
      <c r="C7" s="15">
        <v>41545</v>
      </c>
      <c r="D7" s="378" t="s">
        <v>96</v>
      </c>
      <c r="E7" s="378" t="s">
        <v>103</v>
      </c>
      <c r="F7" s="378">
        <v>5090</v>
      </c>
      <c r="G7" s="379">
        <v>41697</v>
      </c>
      <c r="H7" s="380">
        <v>7516</v>
      </c>
      <c r="I7" s="381" t="s">
        <v>590</v>
      </c>
    </row>
    <row r="8" spans="1:9">
      <c r="A8" s="70"/>
      <c r="B8" s="26"/>
      <c r="C8" s="27"/>
      <c r="D8" s="26"/>
      <c r="E8" s="26"/>
      <c r="F8" s="26"/>
      <c r="G8" s="29"/>
      <c r="H8" s="76"/>
      <c r="I8" s="26"/>
    </row>
    <row r="9" ht="18.35" spans="1:9">
      <c r="A9" s="322"/>
      <c r="B9" s="26"/>
      <c r="C9" s="27"/>
      <c r="D9" s="26"/>
      <c r="E9" s="26"/>
      <c r="F9" s="26"/>
      <c r="G9" s="29"/>
      <c r="H9" s="31"/>
      <c r="I9" s="26"/>
    </row>
    <row r="10" ht="23.95" spans="1:9">
      <c r="A10" s="111"/>
      <c r="B10" s="26"/>
      <c r="C10" s="32" t="s">
        <v>591</v>
      </c>
      <c r="D10" s="33"/>
      <c r="E10" s="33"/>
      <c r="F10" s="33"/>
      <c r="G10" s="34"/>
      <c r="H10" s="35">
        <f>H6+H7</f>
        <v>59708</v>
      </c>
      <c r="I10" s="36"/>
    </row>
    <row r="11" spans="1:9">
      <c r="A11" s="111"/>
      <c r="B11" s="26"/>
      <c r="C11" s="27"/>
      <c r="D11" s="26"/>
      <c r="E11" s="26"/>
      <c r="F11" s="26"/>
      <c r="G11" s="29"/>
      <c r="H11" s="30"/>
      <c r="I11" s="26"/>
    </row>
    <row r="12" ht="18.35" spans="1:9">
      <c r="A12" s="338"/>
      <c r="B12" s="26"/>
      <c r="C12" s="27"/>
      <c r="D12" s="26"/>
      <c r="E12" s="26"/>
      <c r="F12" s="26"/>
      <c r="G12" s="29"/>
      <c r="H12" s="31"/>
      <c r="I12" s="26"/>
    </row>
    <row r="13" ht="18.35" spans="1:9">
      <c r="A13" s="338"/>
      <c r="B13" s="26"/>
      <c r="C13" s="435" t="s">
        <v>592</v>
      </c>
      <c r="D13" s="436"/>
      <c r="E13" s="436"/>
      <c r="F13" s="436"/>
      <c r="G13" s="437"/>
      <c r="H13" s="438">
        <v>59708</v>
      </c>
      <c r="I13" s="439">
        <f>($H$10-H13)/H13</f>
        <v>0</v>
      </c>
    </row>
    <row r="14" ht="18.35" spans="1:9">
      <c r="A14" s="338"/>
      <c r="B14" s="26"/>
      <c r="C14" s="435" t="s">
        <v>593</v>
      </c>
      <c r="D14" s="436"/>
      <c r="E14" s="436"/>
      <c r="F14" s="436"/>
      <c r="G14" s="437"/>
      <c r="H14" s="438">
        <v>59708</v>
      </c>
      <c r="I14" s="439">
        <f t="shared" ref="I14:I15" si="0">($H$10-H14)/H14</f>
        <v>0</v>
      </c>
    </row>
    <row r="15" ht="18.35" spans="1:9">
      <c r="A15" s="26"/>
      <c r="B15" s="130"/>
      <c r="C15" s="32" t="s">
        <v>594</v>
      </c>
      <c r="D15" s="33"/>
      <c r="E15" s="33"/>
      <c r="F15" s="33"/>
      <c r="G15" s="440">
        <v>45673</v>
      </c>
      <c r="H15" s="441">
        <v>59708</v>
      </c>
      <c r="I15" s="439">
        <f t="shared" si="0"/>
        <v>0</v>
      </c>
    </row>
    <row r="16" spans="1:9">
      <c r="A16" s="26"/>
      <c r="B16" s="26"/>
      <c r="C16" s="323"/>
      <c r="D16" s="323"/>
      <c r="E16" s="323"/>
      <c r="F16" s="323"/>
      <c r="G16" s="323"/>
      <c r="H16" s="442"/>
      <c r="I16" s="443"/>
    </row>
    <row r="17" spans="1:9">
      <c r="A17" s="322"/>
      <c r="B17" s="26"/>
      <c r="C17" s="27"/>
      <c r="D17" s="26"/>
      <c r="E17" s="26"/>
      <c r="F17" s="26"/>
      <c r="G17" s="29"/>
      <c r="H17" s="31"/>
      <c r="I17" s="26"/>
    </row>
    <row r="19" spans="1:9">
      <c r="B19" s="258"/>
      <c r="C19" s="129" t="s">
        <v>510</v>
      </c>
      <c r="D19" s="130"/>
    </row>
    <row r="21" spans="1:9">
      <c r="E21" t="s">
        <v>591</v>
      </c>
      <c r="G21"/>
    </row>
    <row r="22" spans="1:9">
      <c r="C22" s="53">
        <v>44987</v>
      </c>
      <c r="E22" s="339">
        <v>444276</v>
      </c>
      <c r="F22" s="340"/>
      <c r="G22" s="50"/>
    </row>
    <row r="23" spans="1:9">
      <c r="C23" s="53">
        <v>44994</v>
      </c>
      <c r="E23" s="339">
        <v>444276</v>
      </c>
      <c r="F23" s="340"/>
      <c r="G23" s="50"/>
    </row>
    <row r="24" spans="1:9">
      <c r="C24" s="53">
        <v>45001</v>
      </c>
      <c r="E24" s="339">
        <v>444276</v>
      </c>
      <c r="F24" s="340"/>
      <c r="G24" s="50"/>
    </row>
    <row r="25" spans="1:9">
      <c r="C25" s="53">
        <v>45008</v>
      </c>
      <c r="E25" s="339">
        <v>444276</v>
      </c>
      <c r="F25" s="340"/>
      <c r="G25" s="50"/>
    </row>
    <row r="26" spans="1:9">
      <c r="C26" s="53">
        <v>45015</v>
      </c>
      <c r="E26" s="339">
        <v>444276</v>
      </c>
      <c r="F26" s="340"/>
      <c r="G26" s="50"/>
    </row>
    <row r="27" spans="1:9">
      <c r="C27" s="53">
        <v>45022</v>
      </c>
      <c r="E27" s="339">
        <v>444276</v>
      </c>
      <c r="F27" s="340"/>
      <c r="G27" s="50"/>
    </row>
    <row r="28" spans="1:9">
      <c r="C28" s="53">
        <v>45029</v>
      </c>
      <c r="E28" s="339">
        <v>444276</v>
      </c>
      <c r="F28" s="340"/>
      <c r="G28" s="50"/>
    </row>
    <row r="29" spans="1:9">
      <c r="C29" s="53">
        <v>45036</v>
      </c>
      <c r="E29" s="339">
        <v>59708</v>
      </c>
      <c r="F29" s="340"/>
      <c r="G29" s="50"/>
    </row>
    <row r="30" spans="1:9">
      <c r="C30" s="53">
        <v>45043</v>
      </c>
      <c r="E30" s="339">
        <v>59708</v>
      </c>
      <c r="F30" s="340"/>
      <c r="G30" s="50"/>
    </row>
    <row r="31" spans="1:9">
      <c r="C31" s="53">
        <v>45051</v>
      </c>
      <c r="E31" s="339">
        <v>59708</v>
      </c>
      <c r="F31" s="340"/>
      <c r="G31" s="50"/>
    </row>
    <row r="32" spans="1:9">
      <c r="C32" s="53">
        <v>45057</v>
      </c>
      <c r="E32" s="339">
        <v>59708</v>
      </c>
      <c r="F32" s="340"/>
      <c r="G32" s="50"/>
    </row>
    <row r="33" spans="3:7">
      <c r="C33" s="53">
        <v>45064</v>
      </c>
      <c r="E33" s="339">
        <v>59708</v>
      </c>
      <c r="F33" s="340"/>
      <c r="G33" s="50"/>
    </row>
    <row r="34" spans="3:7">
      <c r="C34" s="53">
        <v>45071</v>
      </c>
      <c r="E34" s="339">
        <v>59708</v>
      </c>
      <c r="F34" s="340"/>
      <c r="G34" s="50"/>
    </row>
    <row r="35" spans="3:7">
      <c r="C35" s="53">
        <v>45078</v>
      </c>
      <c r="E35" s="339">
        <v>291548</v>
      </c>
      <c r="F35" s="340"/>
      <c r="G35" s="50"/>
    </row>
    <row r="36" spans="3:7">
      <c r="C36" s="53">
        <v>45085</v>
      </c>
      <c r="E36" s="339">
        <v>59708</v>
      </c>
      <c r="F36" s="340"/>
      <c r="G36" s="50"/>
    </row>
    <row r="37" spans="3:7">
      <c r="C37" s="53">
        <v>45092</v>
      </c>
      <c r="E37" s="339">
        <v>59708</v>
      </c>
      <c r="F37" s="340"/>
      <c r="G37" s="50"/>
    </row>
    <row r="38" spans="3:7">
      <c r="C38" s="53">
        <v>45099</v>
      </c>
      <c r="E38" s="339">
        <v>59708</v>
      </c>
      <c r="F38" s="340"/>
      <c r="G38" s="50"/>
    </row>
    <row r="39" spans="3:7">
      <c r="C39" s="53">
        <v>45120</v>
      </c>
      <c r="E39" s="339">
        <v>59708</v>
      </c>
      <c r="F39" s="340"/>
      <c r="G39" s="50"/>
    </row>
    <row r="40" spans="3:7">
      <c r="C40" s="53">
        <v>45134</v>
      </c>
      <c r="E40" s="339">
        <v>59708</v>
      </c>
      <c r="F40" s="340"/>
      <c r="G40" s="50"/>
    </row>
    <row r="41" spans="3:7">
      <c r="C41" s="53">
        <v>45141</v>
      </c>
      <c r="E41" s="339">
        <v>59708</v>
      </c>
      <c r="F41" s="340"/>
      <c r="G41" s="50"/>
    </row>
    <row r="42" spans="3:7">
      <c r="C42" s="53">
        <v>45148</v>
      </c>
      <c r="E42" s="339">
        <v>59708</v>
      </c>
      <c r="F42" s="340"/>
      <c r="G42" s="50"/>
    </row>
    <row r="43" spans="3:7">
      <c r="C43" s="53">
        <v>45155</v>
      </c>
      <c r="E43" s="339">
        <v>59708</v>
      </c>
      <c r="F43" s="340"/>
      <c r="G43" s="50"/>
    </row>
    <row r="44" spans="3:7">
      <c r="C44" s="53">
        <v>45183</v>
      </c>
      <c r="E44" s="339">
        <v>59708</v>
      </c>
      <c r="F44" s="340"/>
      <c r="G44" s="50"/>
    </row>
    <row r="45" spans="3:7">
      <c r="C45" s="53">
        <v>45190</v>
      </c>
      <c r="E45" s="339">
        <v>59708</v>
      </c>
      <c r="F45" s="340"/>
      <c r="G45" s="50"/>
    </row>
    <row r="46" spans="3:7">
      <c r="C46" s="53">
        <v>45204</v>
      </c>
      <c r="E46" s="339">
        <v>59708</v>
      </c>
      <c r="F46" s="340"/>
      <c r="G46" s="50"/>
    </row>
    <row r="47" spans="3:7">
      <c r="C47" s="53">
        <v>45211</v>
      </c>
      <c r="E47" s="339">
        <v>59708</v>
      </c>
      <c r="F47" s="340"/>
      <c r="G47" s="50"/>
    </row>
    <row r="48" spans="3:7">
      <c r="C48" s="53">
        <v>45218</v>
      </c>
      <c r="E48" s="339">
        <v>59708</v>
      </c>
      <c r="F48" s="340"/>
      <c r="G48" s="50"/>
    </row>
    <row r="49" spans="3:7">
      <c r="C49" s="53">
        <v>45225</v>
      </c>
      <c r="E49" s="339">
        <v>59708</v>
      </c>
      <c r="F49" s="340"/>
      <c r="G49" s="50"/>
    </row>
    <row r="50" spans="3:7">
      <c r="C50" s="53">
        <v>45232</v>
      </c>
      <c r="E50" s="339">
        <v>59708</v>
      </c>
      <c r="F50" s="340"/>
      <c r="G50" s="50"/>
    </row>
    <row r="51" spans="3:7">
      <c r="C51" s="53">
        <v>45239</v>
      </c>
      <c r="E51" s="339">
        <v>59708</v>
      </c>
      <c r="F51" s="340"/>
      <c r="G51" s="50"/>
    </row>
    <row r="52" spans="3:7">
      <c r="C52" s="53">
        <v>45246</v>
      </c>
      <c r="E52" s="339">
        <v>59708</v>
      </c>
      <c r="F52" s="340"/>
      <c r="G52" s="50"/>
    </row>
    <row r="53" spans="3:7">
      <c r="C53" s="53">
        <v>45253</v>
      </c>
      <c r="E53" s="339">
        <v>59708</v>
      </c>
      <c r="F53" s="340"/>
      <c r="G53" s="50"/>
    </row>
    <row r="54" spans="3:7">
      <c r="C54" s="53">
        <v>45260</v>
      </c>
      <c r="E54" s="339">
        <v>59708</v>
      </c>
      <c r="F54" s="340"/>
      <c r="G54" s="50"/>
    </row>
    <row r="55" spans="3:7">
      <c r="C55" s="53">
        <v>45267</v>
      </c>
      <c r="E55" s="339">
        <v>59708</v>
      </c>
      <c r="F55" s="340"/>
      <c r="G55" s="50"/>
    </row>
    <row r="56" spans="3:7">
      <c r="C56" s="53">
        <v>45274</v>
      </c>
      <c r="E56" s="339">
        <v>59708</v>
      </c>
      <c r="F56" s="340"/>
      <c r="G56" s="50"/>
    </row>
    <row r="57" spans="3:7">
      <c r="C57" s="53">
        <v>45281</v>
      </c>
      <c r="E57" s="339">
        <v>59708</v>
      </c>
      <c r="F57" s="340"/>
      <c r="G57" s="50"/>
    </row>
    <row r="58" spans="3:7">
      <c r="C58" s="53">
        <v>45294</v>
      </c>
      <c r="E58" s="339">
        <v>59708</v>
      </c>
      <c r="F58" s="340"/>
      <c r="G58" s="50"/>
    </row>
    <row r="59" spans="3:7">
      <c r="C59" s="53">
        <v>45303</v>
      </c>
      <c r="E59" s="339">
        <v>59708</v>
      </c>
      <c r="F59" s="340"/>
      <c r="G59" s="50"/>
    </row>
    <row r="60" spans="3:7">
      <c r="C60" s="53">
        <v>45309</v>
      </c>
      <c r="E60" s="339">
        <v>59708</v>
      </c>
      <c r="F60" s="340"/>
      <c r="G60" s="50"/>
    </row>
    <row r="61" spans="3:7">
      <c r="C61" s="53">
        <v>45323</v>
      </c>
      <c r="E61" s="339">
        <v>59708</v>
      </c>
      <c r="F61" s="340"/>
      <c r="G61" s="50"/>
    </row>
    <row r="62" spans="3:7">
      <c r="C62" s="53">
        <v>45330</v>
      </c>
      <c r="E62" s="339">
        <v>59708</v>
      </c>
      <c r="F62" s="340"/>
      <c r="G62" s="50"/>
    </row>
    <row r="63" spans="3:7">
      <c r="C63" s="53">
        <v>45337</v>
      </c>
      <c r="E63" s="339">
        <v>59780</v>
      </c>
      <c r="F63" s="340"/>
      <c r="G63" s="50"/>
    </row>
    <row r="64" spans="3:7">
      <c r="C64" s="53">
        <v>45344</v>
      </c>
      <c r="E64" s="339">
        <v>59780</v>
      </c>
      <c r="F64" s="340"/>
      <c r="G64" s="50"/>
    </row>
    <row r="65" spans="3:7">
      <c r="C65" s="53">
        <v>45351</v>
      </c>
      <c r="E65" s="339">
        <v>59780</v>
      </c>
      <c r="F65" s="340"/>
      <c r="G65" s="50"/>
    </row>
    <row r="66" spans="3:7">
      <c r="C66" s="53">
        <v>45358</v>
      </c>
      <c r="E66" s="339">
        <v>59780</v>
      </c>
      <c r="F66" s="340"/>
      <c r="G66" s="50"/>
    </row>
    <row r="67" spans="3:7">
      <c r="C67" s="53">
        <v>45365</v>
      </c>
      <c r="E67" s="339">
        <v>59780</v>
      </c>
      <c r="F67" s="340"/>
      <c r="G67" s="50"/>
    </row>
    <row r="68" spans="3:7">
      <c r="C68" s="53">
        <v>45372</v>
      </c>
      <c r="E68" s="339">
        <v>59780</v>
      </c>
      <c r="F68" s="340"/>
      <c r="G68" s="50"/>
    </row>
    <row r="69" spans="3:7">
      <c r="C69" s="53">
        <v>45379</v>
      </c>
      <c r="E69" s="339">
        <v>59780</v>
      </c>
      <c r="F69" s="340"/>
      <c r="G69" s="50"/>
    </row>
    <row r="70" spans="3:7">
      <c r="C70" s="53">
        <v>45386</v>
      </c>
      <c r="E70" s="339">
        <v>59780</v>
      </c>
      <c r="F70" s="340"/>
      <c r="G70" s="50"/>
    </row>
    <row r="71" spans="3:7">
      <c r="C71" s="53">
        <v>45400</v>
      </c>
      <c r="E71" s="339">
        <v>59780</v>
      </c>
      <c r="F71" s="340"/>
      <c r="G71" s="50"/>
    </row>
    <row r="72" spans="3:7">
      <c r="C72" s="53">
        <v>45407</v>
      </c>
      <c r="E72" s="339">
        <v>59780</v>
      </c>
      <c r="F72" s="340"/>
      <c r="G72" s="50"/>
    </row>
    <row r="73" spans="3:7">
      <c r="C73" s="53">
        <v>45414</v>
      </c>
      <c r="E73" s="339">
        <v>59780</v>
      </c>
      <c r="F73" s="340"/>
      <c r="G73" s="50"/>
    </row>
    <row r="74" spans="3:7">
      <c r="C74" s="53">
        <v>45421</v>
      </c>
      <c r="E74" s="339">
        <v>59780</v>
      </c>
      <c r="F74" s="340"/>
      <c r="G74" s="50"/>
    </row>
    <row r="75" spans="3:7">
      <c r="C75" s="53">
        <v>45428</v>
      </c>
      <c r="E75" s="339">
        <v>59780</v>
      </c>
      <c r="F75" s="340"/>
      <c r="G75" s="50"/>
    </row>
    <row r="76" spans="3:7">
      <c r="C76" s="53">
        <v>45435</v>
      </c>
      <c r="E76" s="339">
        <v>59780</v>
      </c>
      <c r="F76" s="340"/>
      <c r="G76" s="50"/>
    </row>
    <row r="77" spans="3:7">
      <c r="C77" s="53">
        <v>45442</v>
      </c>
      <c r="E77" s="339">
        <v>59780</v>
      </c>
      <c r="F77" s="340"/>
      <c r="G77" s="50"/>
    </row>
    <row r="78" spans="3:7">
      <c r="C78" s="53">
        <v>45449</v>
      </c>
      <c r="E78" s="339">
        <v>59780</v>
      </c>
      <c r="F78" s="340"/>
      <c r="G78" s="50"/>
    </row>
    <row r="79" spans="3:7">
      <c r="C79" s="53">
        <v>45456</v>
      </c>
      <c r="E79" s="339">
        <v>59708</v>
      </c>
      <c r="F79" s="340"/>
      <c r="G79" s="50"/>
    </row>
    <row r="80" spans="3:7">
      <c r="C80" s="53">
        <v>45463</v>
      </c>
      <c r="E80" s="339">
        <v>59708</v>
      </c>
      <c r="F80" s="340"/>
      <c r="G80" s="50"/>
    </row>
    <row r="81" spans="3:7">
      <c r="C81" s="53">
        <v>45470</v>
      </c>
      <c r="E81" s="339">
        <v>59708</v>
      </c>
      <c r="F81" s="340"/>
      <c r="G81" s="50"/>
    </row>
    <row r="82" spans="3:7">
      <c r="C82" s="53">
        <v>45477</v>
      </c>
      <c r="E82" s="339">
        <v>59708</v>
      </c>
      <c r="F82" s="340"/>
      <c r="G82" s="50"/>
    </row>
    <row r="83" spans="3:7">
      <c r="C83" s="53">
        <v>45484</v>
      </c>
      <c r="E83" s="339">
        <v>59708</v>
      </c>
      <c r="F83" s="340"/>
      <c r="G83" s="50"/>
    </row>
    <row r="84" spans="3:7">
      <c r="C84" s="53">
        <v>45491</v>
      </c>
      <c r="E84" s="339">
        <v>59708</v>
      </c>
      <c r="F84" s="340"/>
      <c r="G84" s="50"/>
    </row>
    <row r="85" spans="3:7">
      <c r="C85" s="53">
        <v>45498</v>
      </c>
      <c r="E85" s="339">
        <v>59708</v>
      </c>
      <c r="F85" s="340"/>
      <c r="G85" s="50"/>
    </row>
    <row r="86" spans="3:7">
      <c r="C86" s="53">
        <v>45505</v>
      </c>
      <c r="E86" s="339">
        <v>59708</v>
      </c>
      <c r="F86" s="340"/>
      <c r="G86" s="50"/>
    </row>
    <row r="87" spans="3:7">
      <c r="C87" s="53">
        <v>45512</v>
      </c>
      <c r="E87" s="339">
        <v>59708</v>
      </c>
      <c r="F87" s="340"/>
      <c r="G87" s="50"/>
    </row>
    <row r="88" spans="3:7">
      <c r="C88" s="53">
        <v>45519</v>
      </c>
      <c r="E88" s="339">
        <v>59708</v>
      </c>
      <c r="F88" s="340"/>
      <c r="G88" s="50"/>
    </row>
    <row r="89" spans="3:7">
      <c r="C89" s="53">
        <v>45547</v>
      </c>
      <c r="E89" s="339">
        <v>59708</v>
      </c>
      <c r="F89" s="340"/>
      <c r="G89" s="50"/>
    </row>
    <row r="90" spans="3:7">
      <c r="C90" s="53">
        <v>45554</v>
      </c>
      <c r="E90" s="339">
        <v>59708</v>
      </c>
      <c r="F90" s="340"/>
      <c r="G90" s="50"/>
    </row>
    <row r="91" spans="3:7">
      <c r="C91" s="53">
        <v>45561</v>
      </c>
      <c r="E91" s="339">
        <v>59708</v>
      </c>
      <c r="F91" s="340"/>
      <c r="G91" s="50"/>
    </row>
    <row r="92" spans="3:7">
      <c r="C92" s="53">
        <v>45568</v>
      </c>
      <c r="E92" s="339">
        <v>59708</v>
      </c>
      <c r="F92" s="340"/>
      <c r="G92" s="50"/>
    </row>
    <row r="93" spans="3:7">
      <c r="C93" s="53">
        <v>45575</v>
      </c>
      <c r="E93" s="339">
        <v>59708</v>
      </c>
      <c r="F93" s="340"/>
      <c r="G93" s="50"/>
    </row>
    <row r="94" spans="3:7">
      <c r="C94" s="53">
        <v>45582</v>
      </c>
      <c r="E94" s="339">
        <v>59708</v>
      </c>
      <c r="F94" s="340"/>
      <c r="G94" s="50"/>
    </row>
    <row r="95" spans="3:7">
      <c r="C95" s="53">
        <v>45589</v>
      </c>
      <c r="E95" s="339">
        <v>59708</v>
      </c>
      <c r="F95" s="340"/>
      <c r="G95" s="50"/>
    </row>
    <row r="96" spans="3:7">
      <c r="C96" s="53">
        <v>45596</v>
      </c>
      <c r="E96" s="339">
        <v>59708</v>
      </c>
      <c r="F96" s="340"/>
      <c r="G96" s="50"/>
    </row>
    <row r="97" spans="3:7">
      <c r="C97" s="53">
        <v>45603</v>
      </c>
      <c r="E97" s="339">
        <v>59708</v>
      </c>
      <c r="F97" s="340"/>
      <c r="G97" s="50"/>
    </row>
    <row r="98" spans="3:7">
      <c r="C98" s="53">
        <v>45610</v>
      </c>
      <c r="E98" s="339">
        <v>59708</v>
      </c>
      <c r="F98" s="340"/>
      <c r="G98" s="50"/>
    </row>
    <row r="99" spans="3:7">
      <c r="C99" s="53">
        <v>45617</v>
      </c>
      <c r="E99" s="339">
        <v>59708</v>
      </c>
      <c r="F99" s="340"/>
      <c r="G99" s="50"/>
    </row>
    <row r="100" spans="3:7">
      <c r="C100" s="53">
        <v>45624</v>
      </c>
      <c r="E100" s="339">
        <v>59708</v>
      </c>
      <c r="F100" s="340"/>
      <c r="G100" s="50"/>
    </row>
    <row r="101" spans="3:7">
      <c r="C101" s="444">
        <v>45631</v>
      </c>
      <c r="E101" s="339">
        <v>59708</v>
      </c>
      <c r="F101" s="340"/>
      <c r="G101" s="50"/>
    </row>
    <row r="102" spans="3:7">
      <c r="C102" s="444">
        <v>45638</v>
      </c>
      <c r="E102" s="339">
        <v>59708</v>
      </c>
      <c r="F102" s="340"/>
      <c r="G102" s="50"/>
    </row>
    <row r="103" spans="3:7">
      <c r="C103" s="444">
        <v>45645</v>
      </c>
      <c r="E103" s="339">
        <v>59708</v>
      </c>
      <c r="F103" s="340"/>
      <c r="G103" s="50"/>
    </row>
    <row r="104" spans="3:7">
      <c r="C104" s="444">
        <v>45652</v>
      </c>
      <c r="E104" s="339">
        <v>59708</v>
      </c>
      <c r="F104" s="340"/>
      <c r="G104" s="50"/>
    </row>
    <row r="105" spans="3:7">
      <c r="C105" s="444">
        <v>45659</v>
      </c>
      <c r="E105" s="339">
        <v>59708</v>
      </c>
      <c r="F105" s="340"/>
      <c r="G105" s="50"/>
    </row>
    <row r="106" spans="3:7">
      <c r="C106" s="444">
        <v>45666</v>
      </c>
      <c r="E106" s="339">
        <v>59708</v>
      </c>
      <c r="F106" s="340"/>
      <c r="G106" s="50"/>
    </row>
    <row r="107" spans="3:7">
      <c r="C107" s="444">
        <v>45673</v>
      </c>
      <c r="E107" s="339">
        <v>59708</v>
      </c>
      <c r="F107" s="340"/>
      <c r="G107" s="50"/>
    </row>
    <row r="108" spans="3:7">
      <c r="C108" s="444">
        <v>45680</v>
      </c>
      <c r="E108" s="339">
        <v>59708</v>
      </c>
      <c r="F108" s="340"/>
      <c r="G108" s="50"/>
    </row>
    <row r="109" spans="3:7">
      <c r="C109" s="444">
        <v>45687</v>
      </c>
      <c r="E109" s="339">
        <v>59708</v>
      </c>
      <c r="F109" s="340"/>
      <c r="G109" s="50"/>
    </row>
    <row r="110" spans="3:7">
      <c r="C110" s="444">
        <v>45694</v>
      </c>
      <c r="E110" s="339">
        <v>59708</v>
      </c>
      <c r="F110" s="340"/>
      <c r="G110" s="50"/>
    </row>
  </sheetData>
  <autoFilter xmlns:etc="http://www.wps.cn/officeDocument/2017/etCustomData" ref="A5:I7" etc:filterBottomFollowUsedRange="0">
    <extLst/>
  </autoFilter>
  <mergeCells count="96">
    <mergeCell ref="C2:G2"/>
    <mergeCell ref="C10:G10"/>
    <mergeCell ref="H10:I10"/>
    <mergeCell ref="C13:G13"/>
    <mergeCell ref="C14:G14"/>
    <mergeCell ref="C16:G16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</mergeCell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90"/>
  <sheetViews>
    <sheetView topLeftCell="A126" workbookViewId="0">
      <selection activeCell="D143" sqref="D143"/>
    </sheetView>
  </sheetViews>
  <sheetFormatPr defaultColWidth="11" defaultRowHeight="17.6"/>
  <cols>
    <col min="1" max="1" width="38.125" customWidth="1"/>
    <col min="2" max="2" width="6.5" customWidth="1"/>
    <col min="4" max="4" width="3.125" customWidth="1"/>
    <col min="5" max="5" width="8.5" customWidth="1"/>
    <col min="6" max="6" width="7" style="23" customWidth="1"/>
    <col min="7" max="7" width="11.5" customWidth="1"/>
    <col min="8" max="8" width="14.875" customWidth="1"/>
    <col min="9" max="9" width="33.25" customWidth="1"/>
  </cols>
  <sheetData>
    <row r="2" ht="18.35"/>
    <row r="3" ht="18.35" spans="1:9">
      <c r="B3" s="372"/>
      <c r="C3" s="167" t="s">
        <v>595</v>
      </c>
      <c r="D3" s="167"/>
      <c r="E3" s="167"/>
      <c r="F3" s="167"/>
      <c r="G3" s="167"/>
      <c r="H3" s="373"/>
    </row>
    <row r="4" spans="1:9">
      <c r="C4" s="5"/>
      <c r="G4" s="5"/>
      <c r="H4" s="4"/>
    </row>
    <row r="5" ht="18.35" spans="1:9">
      <c r="C5" s="5"/>
      <c r="G5" s="5"/>
      <c r="H5" s="4"/>
    </row>
    <row r="6" ht="18.35" spans="1:9">
      <c r="A6" s="139" t="s">
        <v>85</v>
      </c>
      <c r="B6" s="142" t="s">
        <v>86</v>
      </c>
      <c r="C6" s="141" t="s">
        <v>87</v>
      </c>
      <c r="D6" s="142" t="s">
        <v>88</v>
      </c>
      <c r="E6" s="142" t="s">
        <v>89</v>
      </c>
      <c r="F6" s="374" t="s">
        <v>90</v>
      </c>
      <c r="G6" s="144" t="s">
        <v>91</v>
      </c>
      <c r="H6" s="145" t="s">
        <v>92</v>
      </c>
      <c r="I6" s="146" t="s">
        <v>93</v>
      </c>
    </row>
    <row r="7" spans="1:9">
      <c r="A7" s="375" t="s">
        <v>596</v>
      </c>
      <c r="B7" s="277" t="s">
        <v>597</v>
      </c>
      <c r="C7" s="88">
        <v>42094</v>
      </c>
      <c r="D7" s="277" t="s">
        <v>114</v>
      </c>
      <c r="E7" s="277" t="s">
        <v>103</v>
      </c>
      <c r="F7" s="89">
        <v>8043</v>
      </c>
      <c r="G7" s="93">
        <v>42686</v>
      </c>
      <c r="H7" s="376">
        <v>541</v>
      </c>
      <c r="I7" s="91" t="s">
        <v>598</v>
      </c>
    </row>
    <row r="8" spans="1:9">
      <c r="A8" s="377" t="s">
        <v>599</v>
      </c>
      <c r="B8" s="378" t="s">
        <v>597</v>
      </c>
      <c r="C8" s="15">
        <v>42691</v>
      </c>
      <c r="D8" s="378" t="s">
        <v>114</v>
      </c>
      <c r="E8" s="378" t="s">
        <v>97</v>
      </c>
      <c r="F8" s="16">
        <v>6978</v>
      </c>
      <c r="G8" s="379">
        <v>43061</v>
      </c>
      <c r="H8" s="380">
        <v>62378.92</v>
      </c>
      <c r="I8" s="381" t="s">
        <v>600</v>
      </c>
    </row>
    <row r="9" spans="1:9">
      <c r="A9" s="377" t="s">
        <v>601</v>
      </c>
      <c r="B9" s="378" t="s">
        <v>597</v>
      </c>
      <c r="C9" s="15">
        <v>42213</v>
      </c>
      <c r="D9" s="378" t="s">
        <v>96</v>
      </c>
      <c r="E9" s="378" t="s">
        <v>106</v>
      </c>
      <c r="F9" s="16">
        <v>6775</v>
      </c>
      <c r="G9" s="379">
        <v>43221</v>
      </c>
      <c r="H9" s="380">
        <v>73113.16</v>
      </c>
      <c r="I9" s="381" t="s">
        <v>98</v>
      </c>
    </row>
    <row r="10" spans="1:9">
      <c r="A10" s="58" t="s">
        <v>602</v>
      </c>
      <c r="B10" s="275" t="s">
        <v>597</v>
      </c>
      <c r="C10" s="79">
        <v>41969</v>
      </c>
      <c r="D10" s="275" t="s">
        <v>114</v>
      </c>
      <c r="E10" s="275" t="s">
        <v>106</v>
      </c>
      <c r="F10" s="61" t="s">
        <v>603</v>
      </c>
      <c r="G10" s="382">
        <v>43308</v>
      </c>
      <c r="H10" s="383">
        <v>10000</v>
      </c>
      <c r="I10" s="384" t="s">
        <v>604</v>
      </c>
    </row>
    <row r="11" spans="1:9">
      <c r="A11" s="223" t="s">
        <v>602</v>
      </c>
      <c r="B11" s="26" t="s">
        <v>597</v>
      </c>
      <c r="C11" s="27">
        <v>41969</v>
      </c>
      <c r="D11" s="26" t="s">
        <v>114</v>
      </c>
      <c r="E11" s="26" t="s">
        <v>106</v>
      </c>
      <c r="F11" s="109" t="s">
        <v>605</v>
      </c>
      <c r="G11" s="385">
        <v>43308</v>
      </c>
      <c r="H11" s="386">
        <v>50000</v>
      </c>
      <c r="I11" s="387" t="s">
        <v>606</v>
      </c>
    </row>
    <row r="12" spans="1:9">
      <c r="A12" s="223" t="s">
        <v>602</v>
      </c>
      <c r="B12" s="26" t="s">
        <v>597</v>
      </c>
      <c r="C12" s="27">
        <v>41969</v>
      </c>
      <c r="D12" s="26" t="s">
        <v>114</v>
      </c>
      <c r="E12" s="26" t="s">
        <v>106</v>
      </c>
      <c r="F12" s="109" t="s">
        <v>607</v>
      </c>
      <c r="G12" s="385">
        <v>43308</v>
      </c>
      <c r="H12" s="386">
        <v>50000</v>
      </c>
      <c r="I12" s="387" t="s">
        <v>606</v>
      </c>
    </row>
    <row r="13" spans="1:9">
      <c r="A13" s="64" t="s">
        <v>602</v>
      </c>
      <c r="B13" s="277" t="s">
        <v>597</v>
      </c>
      <c r="C13" s="88">
        <v>41969</v>
      </c>
      <c r="D13" s="277" t="s">
        <v>114</v>
      </c>
      <c r="E13" s="277" t="s">
        <v>106</v>
      </c>
      <c r="F13" s="67" t="s">
        <v>608</v>
      </c>
      <c r="G13" s="388">
        <v>43308</v>
      </c>
      <c r="H13" s="389">
        <v>30000</v>
      </c>
      <c r="I13" s="390" t="s">
        <v>604</v>
      </c>
    </row>
    <row r="14" spans="1:9">
      <c r="A14" s="19" t="s">
        <v>609</v>
      </c>
      <c r="B14" s="26"/>
      <c r="C14" s="27"/>
      <c r="D14" s="26"/>
      <c r="E14" s="26"/>
      <c r="F14" s="109"/>
      <c r="G14" s="385"/>
      <c r="H14" s="24">
        <f>SUM(H10:H13)</f>
        <v>140000</v>
      </c>
      <c r="I14" s="391"/>
    </row>
    <row r="15" spans="1:9">
      <c r="A15" s="219" t="s">
        <v>599</v>
      </c>
      <c r="B15" s="270" t="s">
        <v>597</v>
      </c>
      <c r="C15" s="271">
        <v>42691</v>
      </c>
      <c r="D15" s="270" t="s">
        <v>114</v>
      </c>
      <c r="E15" s="270" t="s">
        <v>97</v>
      </c>
      <c r="F15" s="392" t="s">
        <v>610</v>
      </c>
      <c r="G15" s="273">
        <v>43061</v>
      </c>
      <c r="H15" s="220">
        <v>7621.08</v>
      </c>
      <c r="I15" s="274" t="s">
        <v>611</v>
      </c>
    </row>
    <row r="16" spans="1:9">
      <c r="A16" s="393" t="s">
        <v>612</v>
      </c>
      <c r="B16" s="270" t="s">
        <v>597</v>
      </c>
      <c r="C16" s="271">
        <v>43909</v>
      </c>
      <c r="D16" s="270" t="s">
        <v>114</v>
      </c>
      <c r="E16" s="270" t="s">
        <v>115</v>
      </c>
      <c r="F16" s="392" t="s">
        <v>613</v>
      </c>
      <c r="G16" s="273">
        <v>43994</v>
      </c>
      <c r="H16" s="394">
        <v>137179.95</v>
      </c>
      <c r="I16" s="274" t="s">
        <v>98</v>
      </c>
    </row>
    <row r="17" spans="1:9">
      <c r="A17" s="395" t="s">
        <v>614</v>
      </c>
      <c r="B17" s="396" t="s">
        <v>597</v>
      </c>
      <c r="C17" s="397">
        <v>43909</v>
      </c>
      <c r="D17" s="396" t="s">
        <v>114</v>
      </c>
      <c r="E17" s="396" t="s">
        <v>115</v>
      </c>
      <c r="F17" s="398" t="s">
        <v>615</v>
      </c>
      <c r="G17" s="399">
        <v>43926</v>
      </c>
      <c r="H17" s="400">
        <v>39746.26</v>
      </c>
      <c r="I17" s="401" t="s">
        <v>616</v>
      </c>
    </row>
    <row r="18" spans="1:9">
      <c r="A18" s="19" t="s">
        <v>617</v>
      </c>
      <c r="B18" s="130"/>
      <c r="C18" s="129"/>
      <c r="D18" s="130"/>
      <c r="E18" s="130"/>
      <c r="F18" s="402"/>
      <c r="G18" s="403"/>
      <c r="H18" s="218">
        <f>SUM(H16:H17)</f>
        <v>176926.21</v>
      </c>
      <c r="I18" s="130"/>
    </row>
    <row r="19" spans="1:9">
      <c r="A19" s="404" t="s">
        <v>618</v>
      </c>
      <c r="B19" s="378" t="s">
        <v>597</v>
      </c>
      <c r="C19" s="15">
        <v>44638</v>
      </c>
      <c r="D19" s="378" t="s">
        <v>114</v>
      </c>
      <c r="E19" s="378" t="s">
        <v>115</v>
      </c>
      <c r="F19" s="16" t="s">
        <v>619</v>
      </c>
      <c r="G19" s="379">
        <v>44772</v>
      </c>
      <c r="H19" s="405">
        <v>700</v>
      </c>
      <c r="I19" s="381" t="s">
        <v>620</v>
      </c>
    </row>
    <row r="20" spans="1:9">
      <c r="A20" s="19" t="s">
        <v>621</v>
      </c>
      <c r="B20" s="26"/>
      <c r="C20" s="27"/>
      <c r="D20" s="26"/>
      <c r="E20" s="26"/>
      <c r="G20" s="29"/>
      <c r="H20" s="76">
        <f>SUM(H19:H19)</f>
        <v>700</v>
      </c>
      <c r="I20" s="26"/>
    </row>
    <row r="21" spans="1:9">
      <c r="A21" s="148" t="s">
        <v>622</v>
      </c>
      <c r="B21" s="378" t="s">
        <v>597</v>
      </c>
      <c r="C21" s="15">
        <v>44907</v>
      </c>
      <c r="D21" s="378" t="s">
        <v>96</v>
      </c>
      <c r="E21" s="378" t="s">
        <v>106</v>
      </c>
      <c r="F21" s="16" t="s">
        <v>623</v>
      </c>
      <c r="G21" s="379">
        <v>44907</v>
      </c>
      <c r="H21" s="406">
        <v>2353.69</v>
      </c>
      <c r="I21" s="381" t="s">
        <v>624</v>
      </c>
    </row>
    <row r="22" spans="1:9">
      <c r="A22" s="19" t="s">
        <v>625</v>
      </c>
      <c r="B22" s="26"/>
      <c r="C22" s="27"/>
      <c r="D22" s="26"/>
      <c r="E22" s="26"/>
      <c r="G22" s="29"/>
      <c r="H22" s="76">
        <v>2353.69</v>
      </c>
      <c r="I22" s="26"/>
    </row>
    <row r="23" spans="1:9">
      <c r="A23" s="148" t="s">
        <v>626</v>
      </c>
      <c r="B23" s="407" t="s">
        <v>597</v>
      </c>
      <c r="C23" s="408">
        <v>45516</v>
      </c>
      <c r="D23" s="407" t="s">
        <v>114</v>
      </c>
      <c r="E23" s="407" t="s">
        <v>115</v>
      </c>
      <c r="F23" s="409" t="s">
        <v>390</v>
      </c>
      <c r="G23" s="410">
        <v>45777</v>
      </c>
      <c r="H23" s="411">
        <v>7837.69</v>
      </c>
      <c r="I23" s="412" t="s">
        <v>627</v>
      </c>
    </row>
    <row r="24" spans="1:9">
      <c r="A24" s="19" t="s">
        <v>628</v>
      </c>
      <c r="B24" s="21"/>
      <c r="C24" s="22"/>
      <c r="D24" s="21"/>
      <c r="E24" s="21"/>
      <c r="G24" s="22"/>
      <c r="H24" s="297">
        <f>SUM(H23:H23)</f>
        <v>7837.69</v>
      </c>
      <c r="I24" s="25"/>
    </row>
    <row r="25" spans="1:9">
      <c r="A25" s="413" t="s">
        <v>629</v>
      </c>
      <c r="B25" s="149" t="s">
        <v>597</v>
      </c>
      <c r="C25" s="150">
        <v>45925</v>
      </c>
      <c r="D25" s="149" t="s">
        <v>96</v>
      </c>
      <c r="E25" s="149" t="s">
        <v>220</v>
      </c>
      <c r="F25" s="16" t="s">
        <v>630</v>
      </c>
      <c r="G25" s="150">
        <v>46032</v>
      </c>
      <c r="H25" s="414">
        <v>56758</v>
      </c>
      <c r="I25" s="152" t="s">
        <v>631</v>
      </c>
    </row>
    <row r="26" spans="1:9">
      <c r="A26" s="19" t="s">
        <v>632</v>
      </c>
      <c r="B26" s="21"/>
      <c r="C26" s="22"/>
      <c r="D26" s="21"/>
      <c r="E26" s="21"/>
      <c r="G26" s="22"/>
      <c r="H26" s="297">
        <f>SUM(H25:H25)</f>
        <v>56758</v>
      </c>
      <c r="I26" s="25"/>
    </row>
    <row r="27" spans="1:9">
      <c r="A27" s="413" t="s">
        <v>633</v>
      </c>
      <c r="B27" s="149" t="s">
        <v>597</v>
      </c>
      <c r="C27" s="150">
        <v>45926</v>
      </c>
      <c r="D27" s="149" t="s">
        <v>114</v>
      </c>
      <c r="E27" s="149" t="s">
        <v>106</v>
      </c>
      <c r="F27" s="16" t="s">
        <v>634</v>
      </c>
      <c r="G27" s="150">
        <v>45996</v>
      </c>
      <c r="H27" s="415">
        <v>20000</v>
      </c>
      <c r="I27" s="152" t="s">
        <v>98</v>
      </c>
    </row>
    <row r="28" spans="1:9">
      <c r="A28" s="19" t="s">
        <v>635</v>
      </c>
      <c r="B28" s="21"/>
      <c r="C28" s="22"/>
      <c r="D28" s="21"/>
      <c r="E28" s="21"/>
      <c r="G28" s="22"/>
      <c r="H28" s="297">
        <f>SUM(H27:H27)</f>
        <v>20000</v>
      </c>
      <c r="I28" s="25"/>
    </row>
    <row r="29" spans="1:9">
      <c r="A29" s="148" t="s">
        <v>636</v>
      </c>
      <c r="B29" s="416" t="s">
        <v>597</v>
      </c>
      <c r="C29" s="417">
        <v>46030</v>
      </c>
      <c r="D29" s="416" t="s">
        <v>96</v>
      </c>
      <c r="E29" s="416" t="s">
        <v>115</v>
      </c>
      <c r="F29" s="409" t="s">
        <v>637</v>
      </c>
      <c r="G29" s="417">
        <v>46162</v>
      </c>
      <c r="H29" s="418">
        <v>138600</v>
      </c>
      <c r="I29" s="419" t="s">
        <v>638</v>
      </c>
    </row>
    <row r="30" spans="1:9">
      <c r="A30" s="375" t="s">
        <v>639</v>
      </c>
      <c r="B30" s="21"/>
      <c r="C30" s="22"/>
      <c r="D30" s="21"/>
      <c r="E30" s="21"/>
      <c r="G30" s="22"/>
      <c r="H30" s="297">
        <f>SUM(H29:H29)</f>
        <v>138600</v>
      </c>
      <c r="I30" s="25"/>
    </row>
    <row r="31" spans="1:9">
      <c r="A31" s="219" t="s">
        <v>640</v>
      </c>
      <c r="B31" s="228" t="s">
        <v>597</v>
      </c>
      <c r="C31" s="293">
        <v>45791</v>
      </c>
      <c r="D31" s="228" t="s">
        <v>114</v>
      </c>
      <c r="E31" s="228" t="s">
        <v>103</v>
      </c>
      <c r="F31" s="80" t="s">
        <v>641</v>
      </c>
      <c r="G31" s="293">
        <v>46014</v>
      </c>
      <c r="H31" s="420">
        <v>5000</v>
      </c>
      <c r="I31" s="212" t="s">
        <v>642</v>
      </c>
    </row>
    <row r="32" spans="1:9">
      <c r="A32" s="207" t="s">
        <v>643</v>
      </c>
      <c r="B32" s="149" t="s">
        <v>597</v>
      </c>
      <c r="C32" s="150">
        <v>45951</v>
      </c>
      <c r="D32" s="149" t="s">
        <v>96</v>
      </c>
      <c r="E32" s="149" t="s">
        <v>97</v>
      </c>
      <c r="F32" s="16" t="s">
        <v>469</v>
      </c>
      <c r="G32" s="150">
        <v>46157</v>
      </c>
      <c r="H32" s="421">
        <v>38000</v>
      </c>
      <c r="I32" s="152" t="s">
        <v>98</v>
      </c>
    </row>
    <row r="33" spans="1:9">
      <c r="A33" s="207" t="s">
        <v>644</v>
      </c>
      <c r="B33" s="149" t="s">
        <v>597</v>
      </c>
      <c r="C33" s="150">
        <v>44797</v>
      </c>
      <c r="D33" s="149" t="s">
        <v>96</v>
      </c>
      <c r="E33" s="149" t="s">
        <v>119</v>
      </c>
      <c r="F33" s="16" t="s">
        <v>645</v>
      </c>
      <c r="G33" s="150">
        <v>46205</v>
      </c>
      <c r="H33" s="421">
        <v>177069.1</v>
      </c>
      <c r="I33" s="152" t="s">
        <v>500</v>
      </c>
    </row>
    <row r="34" spans="1:9">
      <c r="A34" s="148" t="s">
        <v>646</v>
      </c>
      <c r="B34" s="149" t="s">
        <v>597</v>
      </c>
      <c r="C34" s="150">
        <v>46014</v>
      </c>
      <c r="D34" s="149" t="s">
        <v>96</v>
      </c>
      <c r="E34" s="149" t="s">
        <v>103</v>
      </c>
      <c r="F34" s="16" t="s">
        <v>405</v>
      </c>
      <c r="G34" s="150">
        <v>46203</v>
      </c>
      <c r="H34" s="421">
        <v>30000</v>
      </c>
      <c r="I34" s="152" t="s">
        <v>98</v>
      </c>
    </row>
    <row r="35" spans="1:9">
      <c r="A35" s="207" t="s">
        <v>647</v>
      </c>
      <c r="B35" s="149" t="s">
        <v>597</v>
      </c>
      <c r="C35" s="150">
        <v>46118</v>
      </c>
      <c r="D35" s="149" t="s">
        <v>114</v>
      </c>
      <c r="E35" s="149" t="s">
        <v>648</v>
      </c>
      <c r="F35" s="16" t="s">
        <v>649</v>
      </c>
      <c r="G35" s="150">
        <v>46217</v>
      </c>
      <c r="H35" s="421">
        <v>29120.03</v>
      </c>
      <c r="I35" s="152" t="s">
        <v>493</v>
      </c>
    </row>
    <row r="36" spans="1:9">
      <c r="A36" s="244" t="s">
        <v>650</v>
      </c>
      <c r="B36" s="422" t="s">
        <v>597</v>
      </c>
      <c r="C36" s="423">
        <v>46062</v>
      </c>
      <c r="D36" s="422" t="s">
        <v>96</v>
      </c>
      <c r="E36" s="422" t="s">
        <v>103</v>
      </c>
      <c r="F36" s="424" t="s">
        <v>651</v>
      </c>
      <c r="G36" s="423">
        <v>46213</v>
      </c>
      <c r="H36" s="425">
        <v>273888</v>
      </c>
      <c r="I36" s="239" t="s">
        <v>98</v>
      </c>
    </row>
    <row r="37" spans="1:9">
      <c r="A37" s="361" t="s">
        <v>652</v>
      </c>
      <c r="B37" s="362" t="s">
        <v>597</v>
      </c>
      <c r="C37" s="363"/>
      <c r="D37" s="362" t="s">
        <v>96</v>
      </c>
      <c r="E37" s="362" t="s">
        <v>103</v>
      </c>
      <c r="F37" s="364" t="s">
        <v>653</v>
      </c>
      <c r="G37" s="363">
        <v>46227</v>
      </c>
      <c r="H37" s="426">
        <v>72072</v>
      </c>
      <c r="I37" s="366" t="s">
        <v>98</v>
      </c>
    </row>
    <row r="38" spans="1:9">
      <c r="A38" s="19"/>
      <c r="B38" s="21"/>
      <c r="C38" s="22"/>
      <c r="D38" s="21"/>
      <c r="E38" s="21"/>
      <c r="G38" s="22"/>
      <c r="H38" s="297"/>
      <c r="I38" s="25"/>
    </row>
    <row r="39" spans="1:9">
      <c r="A39" s="19"/>
      <c r="B39" s="21"/>
      <c r="C39" s="22"/>
      <c r="D39" s="21"/>
      <c r="E39" s="21"/>
      <c r="G39" s="22"/>
      <c r="H39" s="297"/>
      <c r="I39" s="25"/>
    </row>
    <row r="40" spans="1:9">
      <c r="A40" s="19"/>
      <c r="B40" s="21"/>
      <c r="C40" s="22"/>
      <c r="D40" s="21"/>
      <c r="E40" s="21"/>
      <c r="G40" s="22"/>
      <c r="H40" s="297"/>
      <c r="I40" s="25"/>
    </row>
    <row r="41" ht="18.35" spans="1:9">
      <c r="A41" s="427"/>
      <c r="B41" s="26"/>
      <c r="C41" s="27"/>
      <c r="D41" s="26"/>
      <c r="E41" s="26"/>
      <c r="G41" s="29"/>
      <c r="H41" s="31"/>
      <c r="I41" s="26"/>
    </row>
    <row r="42" ht="23.95" spans="1:9">
      <c r="A42" s="111"/>
      <c r="B42" s="26"/>
      <c r="C42" s="32" t="s">
        <v>654</v>
      </c>
      <c r="D42" s="33"/>
      <c r="E42" s="33"/>
      <c r="F42" s="33"/>
      <c r="G42" s="34"/>
      <c r="H42" s="35">
        <f>H7+H8+H9+H14+H15+H18+H20+H22+H24+H26+H28+H30+H31+H32+H33+H34+H35+H36+H37</f>
        <v>1311978.88</v>
      </c>
      <c r="I42" s="36"/>
    </row>
    <row r="43" spans="1:9">
      <c r="A43" s="111"/>
      <c r="B43" s="26"/>
      <c r="C43" s="27"/>
      <c r="D43" s="26"/>
      <c r="E43" s="26"/>
      <c r="G43" s="29"/>
      <c r="H43" s="30" t="s">
        <v>655</v>
      </c>
      <c r="I43" s="26"/>
    </row>
    <row r="44" ht="18.35" spans="1:9">
      <c r="A44" s="111"/>
      <c r="B44" s="26"/>
      <c r="C44" s="27"/>
      <c r="D44" s="26"/>
      <c r="E44" s="26"/>
      <c r="G44" s="29"/>
      <c r="H44" s="30"/>
      <c r="I44" s="26"/>
    </row>
    <row r="45" spans="1:9">
      <c r="A45" s="111"/>
      <c r="B45" s="26"/>
      <c r="C45" s="37" t="s">
        <v>656</v>
      </c>
      <c r="D45" s="38"/>
      <c r="E45" s="38"/>
      <c r="F45" s="38"/>
      <c r="G45" s="39"/>
      <c r="H45" s="40">
        <v>1239906.88</v>
      </c>
      <c r="I45" s="369">
        <f>+($H$42-H45)/H45</f>
        <v>0.0581269457912839</v>
      </c>
    </row>
    <row r="46" spans="1:9">
      <c r="A46" s="111"/>
      <c r="B46" s="26"/>
      <c r="C46" s="42" t="s">
        <v>657</v>
      </c>
      <c r="D46" s="43"/>
      <c r="E46" s="43"/>
      <c r="F46" s="43"/>
      <c r="G46" s="44"/>
      <c r="H46" s="45">
        <v>1212911.88</v>
      </c>
      <c r="I46" s="428">
        <f>+($H$42-H46)/H46</f>
        <v>0.0816769970131713</v>
      </c>
    </row>
    <row r="47" ht="18.35" spans="1:9">
      <c r="A47" s="111"/>
      <c r="B47" s="26"/>
      <c r="C47" s="123" t="s">
        <v>658</v>
      </c>
      <c r="D47" s="124"/>
      <c r="E47" s="124"/>
      <c r="F47" s="429"/>
      <c r="G47" s="126"/>
      <c r="H47" s="46">
        <v>1394391.85</v>
      </c>
      <c r="I47" s="334">
        <f>+($H$42-H47)/H47</f>
        <v>-0.0591031638631567</v>
      </c>
    </row>
    <row r="48" spans="1:9">
      <c r="A48" s="338"/>
      <c r="B48" s="26"/>
      <c r="C48" s="27"/>
      <c r="D48" s="26"/>
      <c r="E48" s="26"/>
      <c r="G48" s="29"/>
      <c r="H48" s="31"/>
      <c r="I48" s="26"/>
    </row>
    <row r="49" spans="1:9">
      <c r="A49" s="26"/>
      <c r="B49" s="258"/>
      <c r="C49" s="129" t="s">
        <v>510</v>
      </c>
      <c r="D49" s="130"/>
      <c r="E49" s="131"/>
      <c r="F49" s="430"/>
      <c r="G49" s="29"/>
      <c r="H49" s="30"/>
      <c r="I49" s="26"/>
    </row>
    <row r="50" spans="1:9">
      <c r="A50" s="26"/>
      <c r="B50" s="26"/>
      <c r="C50" s="27"/>
      <c r="D50" s="26"/>
      <c r="E50" s="26"/>
      <c r="G50" s="29"/>
      <c r="H50" s="30"/>
      <c r="I50" s="73"/>
    </row>
    <row r="51" spans="1:9">
      <c r="A51" s="322"/>
      <c r="B51" s="26"/>
      <c r="C51" s="27"/>
      <c r="D51" s="26"/>
      <c r="E51" s="26"/>
      <c r="G51" s="29"/>
      <c r="H51" s="31"/>
      <c r="I51" s="26"/>
    </row>
    <row r="52" spans="1:9">
      <c r="C52" s="49">
        <v>45456</v>
      </c>
      <c r="D52" s="339">
        <v>763053.76</v>
      </c>
      <c r="E52" s="340"/>
      <c r="F52" s="50"/>
    </row>
    <row r="53" spans="1:9">
      <c r="C53" s="49">
        <v>45463</v>
      </c>
      <c r="D53" s="339">
        <v>856141.76</v>
      </c>
      <c r="E53" s="340"/>
      <c r="F53" s="50"/>
    </row>
    <row r="54" spans="1:9">
      <c r="C54" s="49">
        <v>45470</v>
      </c>
      <c r="D54" s="339">
        <v>856141.76</v>
      </c>
      <c r="E54" s="340"/>
      <c r="F54" s="50"/>
    </row>
    <row r="55" spans="1:9">
      <c r="C55" s="49">
        <v>45477</v>
      </c>
      <c r="D55" s="339">
        <v>856141.76</v>
      </c>
      <c r="E55" s="340"/>
      <c r="F55" s="50"/>
    </row>
    <row r="56" spans="1:9">
      <c r="C56" s="49">
        <v>45484</v>
      </c>
      <c r="D56" s="339">
        <v>856141.76</v>
      </c>
      <c r="E56" s="340"/>
      <c r="F56" s="50"/>
    </row>
    <row r="57" spans="1:9">
      <c r="C57" s="49">
        <v>45491</v>
      </c>
      <c r="D57" s="339">
        <v>1175355.72</v>
      </c>
      <c r="E57" s="340"/>
      <c r="F57" s="50"/>
    </row>
    <row r="58" spans="1:9">
      <c r="C58" s="49">
        <v>45498</v>
      </c>
      <c r="D58" s="339">
        <v>1101955.72</v>
      </c>
      <c r="E58" s="340"/>
      <c r="F58" s="50"/>
    </row>
    <row r="59" spans="1:9">
      <c r="C59" s="49">
        <v>45505</v>
      </c>
      <c r="D59" s="339">
        <v>758201.76</v>
      </c>
      <c r="E59" s="340"/>
      <c r="F59" s="50"/>
    </row>
    <row r="60" spans="1:9">
      <c r="C60" s="49">
        <v>45512</v>
      </c>
      <c r="D60" s="339">
        <v>1023256.32</v>
      </c>
      <c r="E60" s="340"/>
      <c r="F60" s="50"/>
    </row>
    <row r="61" spans="1:9">
      <c r="C61" s="49">
        <v>45519</v>
      </c>
      <c r="D61" s="339">
        <v>998956.32</v>
      </c>
      <c r="E61" s="340"/>
      <c r="F61" s="50"/>
    </row>
    <row r="62" spans="1:9">
      <c r="C62" s="49">
        <v>45547</v>
      </c>
      <c r="D62" s="339">
        <v>834671.76</v>
      </c>
      <c r="E62" s="340"/>
      <c r="F62" s="50"/>
    </row>
    <row r="63" spans="1:9">
      <c r="C63" s="49">
        <v>45554</v>
      </c>
      <c r="D63" s="339">
        <v>693851.76</v>
      </c>
      <c r="E63" s="340"/>
      <c r="F63" s="50"/>
    </row>
    <row r="64" spans="1:9">
      <c r="C64" s="49">
        <v>45561</v>
      </c>
      <c r="D64" s="339">
        <v>723205.76</v>
      </c>
      <c r="E64" s="340"/>
      <c r="F64" s="50"/>
    </row>
    <row r="65" spans="3:6">
      <c r="C65" s="49">
        <v>45568</v>
      </c>
      <c r="D65" s="339">
        <v>743205.76</v>
      </c>
      <c r="E65" s="340"/>
      <c r="F65" s="50"/>
    </row>
    <row r="66" spans="3:6">
      <c r="C66" s="49">
        <v>45575</v>
      </c>
      <c r="D66" s="339">
        <v>869399.14</v>
      </c>
      <c r="E66" s="340"/>
      <c r="F66" s="50"/>
    </row>
    <row r="67" spans="3:6">
      <c r="C67" s="49">
        <v>45582</v>
      </c>
      <c r="D67" s="339">
        <v>869399.14</v>
      </c>
      <c r="E67" s="340"/>
      <c r="F67" s="50"/>
    </row>
    <row r="68" spans="3:6">
      <c r="C68" s="49">
        <v>45589</v>
      </c>
      <c r="D68" s="339">
        <v>685905.76</v>
      </c>
      <c r="E68" s="340"/>
      <c r="F68" s="50"/>
    </row>
    <row r="69" spans="3:6">
      <c r="C69" s="49">
        <v>45596</v>
      </c>
      <c r="D69" s="339">
        <v>680065.76</v>
      </c>
      <c r="E69" s="340"/>
      <c r="F69" s="50"/>
    </row>
    <row r="70" spans="3:6">
      <c r="C70" s="49">
        <v>45603</v>
      </c>
      <c r="D70" s="339">
        <v>771859.14</v>
      </c>
      <c r="E70" s="340"/>
      <c r="F70" s="50"/>
    </row>
    <row r="71" spans="3:6">
      <c r="C71" s="49">
        <v>45610</v>
      </c>
      <c r="D71" s="339">
        <v>1014013.54</v>
      </c>
      <c r="E71" s="340"/>
      <c r="F71" s="50"/>
    </row>
    <row r="72" spans="3:6">
      <c r="C72" s="49">
        <v>45617</v>
      </c>
      <c r="D72" s="339">
        <v>930520.16</v>
      </c>
      <c r="E72" s="340"/>
      <c r="F72" s="50"/>
    </row>
    <row r="73" spans="3:6">
      <c r="C73" s="49">
        <v>45624</v>
      </c>
      <c r="D73" s="339">
        <v>809186.32</v>
      </c>
      <c r="E73" s="340"/>
      <c r="F73" s="50"/>
    </row>
    <row r="74" spans="3:6">
      <c r="C74" s="49">
        <v>45631</v>
      </c>
      <c r="D74" s="339">
        <v>798967.76</v>
      </c>
      <c r="E74" s="340"/>
      <c r="F74" s="50"/>
    </row>
    <row r="75" spans="3:6">
      <c r="C75" s="49">
        <v>45638</v>
      </c>
      <c r="D75" s="339">
        <v>957267.76</v>
      </c>
      <c r="E75" s="340"/>
      <c r="F75" s="50"/>
    </row>
    <row r="76" spans="3:6">
      <c r="C76" s="49">
        <v>45645</v>
      </c>
      <c r="D76" s="339">
        <v>1027778.76</v>
      </c>
      <c r="E76" s="340"/>
      <c r="F76" s="50"/>
    </row>
    <row r="77" spans="3:6">
      <c r="C77" s="49">
        <v>45652</v>
      </c>
      <c r="D77" s="339">
        <v>1050900.76</v>
      </c>
      <c r="E77" s="340"/>
      <c r="F77" s="50"/>
    </row>
    <row r="78" spans="3:6">
      <c r="C78" s="49">
        <v>45659</v>
      </c>
      <c r="D78" s="339">
        <v>1628046.35</v>
      </c>
      <c r="E78" s="340"/>
      <c r="F78" s="50"/>
    </row>
    <row r="79" spans="3:6">
      <c r="C79" s="49">
        <v>45666</v>
      </c>
      <c r="D79" s="339">
        <v>1244715.76</v>
      </c>
      <c r="E79" s="340"/>
      <c r="F79" s="50"/>
    </row>
    <row r="80" spans="3:6">
      <c r="C80" s="49">
        <v>45673</v>
      </c>
      <c r="D80" s="339">
        <v>1257715.76</v>
      </c>
      <c r="E80" s="340"/>
      <c r="F80" s="50"/>
    </row>
    <row r="81" spans="3:6">
      <c r="C81" s="49">
        <v>45680</v>
      </c>
      <c r="D81" s="339">
        <v>1186035.76</v>
      </c>
      <c r="E81" s="340"/>
      <c r="F81" s="50"/>
    </row>
    <row r="82" spans="3:6">
      <c r="C82" s="49">
        <v>45687</v>
      </c>
      <c r="D82" s="339">
        <v>1067935.76</v>
      </c>
      <c r="E82" s="340"/>
      <c r="F82" s="50"/>
    </row>
    <row r="83" spans="3:6">
      <c r="C83" s="49">
        <v>45694</v>
      </c>
      <c r="D83" s="339">
        <v>941881.26</v>
      </c>
      <c r="E83" s="340"/>
      <c r="F83" s="50"/>
    </row>
    <row r="84" spans="3:6">
      <c r="C84" s="49">
        <v>45701</v>
      </c>
      <c r="D84" s="339">
        <v>820805.26</v>
      </c>
      <c r="E84" s="340"/>
      <c r="F84" s="50"/>
    </row>
    <row r="85" spans="3:6">
      <c r="C85" s="49">
        <v>45708</v>
      </c>
      <c r="D85" s="339">
        <v>844875.26</v>
      </c>
      <c r="E85" s="340"/>
      <c r="F85" s="50"/>
    </row>
    <row r="86" spans="3:6">
      <c r="C86" s="49">
        <v>45715</v>
      </c>
      <c r="D86" s="339">
        <v>780523.26</v>
      </c>
      <c r="E86" s="340"/>
      <c r="F86" s="50"/>
    </row>
    <row r="87" spans="3:6">
      <c r="C87" s="49">
        <v>45722</v>
      </c>
      <c r="D87" s="340">
        <v>802023.26</v>
      </c>
      <c r="E87" s="340"/>
      <c r="F87" s="50"/>
    </row>
    <row r="88" spans="3:6">
      <c r="C88" s="51">
        <v>45730</v>
      </c>
      <c r="D88" s="339">
        <v>814773.26</v>
      </c>
      <c r="E88" s="340"/>
      <c r="F88" s="50"/>
    </row>
    <row r="89" spans="3:6">
      <c r="C89" s="49">
        <v>45736</v>
      </c>
      <c r="D89" s="339">
        <v>875131.26</v>
      </c>
      <c r="E89" s="340"/>
      <c r="F89" s="50"/>
    </row>
    <row r="90" spans="3:6">
      <c r="C90" s="49">
        <v>45743</v>
      </c>
      <c r="D90" s="339">
        <v>1041025.26</v>
      </c>
      <c r="E90" s="340"/>
      <c r="F90" s="50"/>
    </row>
    <row r="91" spans="3:6">
      <c r="C91" s="49">
        <v>45750</v>
      </c>
      <c r="D91" s="339">
        <v>1035025.26</v>
      </c>
      <c r="E91" s="340"/>
      <c r="F91" s="50"/>
    </row>
    <row r="92" spans="3:6">
      <c r="C92" s="49">
        <v>45757</v>
      </c>
      <c r="D92" s="339">
        <v>1179575.08</v>
      </c>
      <c r="E92" s="340"/>
      <c r="F92" s="50"/>
    </row>
    <row r="93" spans="3:6">
      <c r="C93" s="49">
        <v>45764</v>
      </c>
      <c r="D93" s="339">
        <v>1190575.08</v>
      </c>
      <c r="E93" s="340"/>
      <c r="F93" s="50"/>
    </row>
    <row r="94" spans="3:6">
      <c r="C94" s="49">
        <v>45771</v>
      </c>
      <c r="D94" s="339">
        <v>1026041.26</v>
      </c>
      <c r="E94" s="340"/>
      <c r="F94" s="50"/>
    </row>
    <row r="95" spans="3:6">
      <c r="C95" s="49">
        <v>45779</v>
      </c>
      <c r="D95" s="339">
        <v>1093381.26</v>
      </c>
      <c r="E95" s="340"/>
      <c r="F95" s="50"/>
    </row>
    <row r="96" spans="3:6">
      <c r="C96" s="49">
        <v>45792</v>
      </c>
      <c r="D96" s="339">
        <v>1551831.26</v>
      </c>
      <c r="E96" s="340"/>
      <c r="F96" s="50"/>
    </row>
    <row r="97" spans="3:6">
      <c r="C97" s="49">
        <v>45799</v>
      </c>
      <c r="D97" s="339">
        <v>1584874.31</v>
      </c>
      <c r="E97" s="340"/>
      <c r="F97" s="50"/>
    </row>
    <row r="98" spans="3:6">
      <c r="C98" s="49">
        <v>45806</v>
      </c>
      <c r="D98" s="339">
        <v>1708526.27</v>
      </c>
      <c r="E98" s="340"/>
      <c r="F98" s="50"/>
    </row>
    <row r="99" spans="3:6">
      <c r="C99" s="49">
        <v>45820</v>
      </c>
      <c r="D99" s="339">
        <v>1068803.22</v>
      </c>
      <c r="E99" s="340"/>
      <c r="F99" s="50"/>
    </row>
    <row r="100" spans="3:6">
      <c r="C100" s="49">
        <v>45827</v>
      </c>
      <c r="D100" s="339">
        <v>1015233.66</v>
      </c>
      <c r="E100" s="340"/>
      <c r="F100" s="50"/>
    </row>
    <row r="101" spans="3:6">
      <c r="C101" s="49">
        <v>45842</v>
      </c>
      <c r="D101" s="339">
        <v>1005475.66</v>
      </c>
      <c r="E101" s="340"/>
      <c r="F101" s="50"/>
    </row>
    <row r="102" spans="3:6">
      <c r="C102" s="49">
        <v>45848</v>
      </c>
      <c r="D102" s="339">
        <v>1222973.66</v>
      </c>
      <c r="E102" s="340"/>
      <c r="F102" s="50"/>
    </row>
    <row r="103" spans="3:6">
      <c r="C103" s="49">
        <v>45856</v>
      </c>
      <c r="D103" s="339">
        <v>1134669.35</v>
      </c>
      <c r="E103" s="340"/>
      <c r="F103" s="50"/>
    </row>
    <row r="104" spans="3:6">
      <c r="C104" s="49">
        <v>45863</v>
      </c>
      <c r="D104" s="339">
        <v>1172073.2</v>
      </c>
      <c r="E104" s="340"/>
      <c r="F104" s="50"/>
    </row>
    <row r="105" spans="3:6">
      <c r="C105" s="49">
        <v>45880</v>
      </c>
      <c r="D105" s="339">
        <v>976554.8</v>
      </c>
      <c r="E105" s="340"/>
      <c r="F105" s="50"/>
    </row>
    <row r="106" spans="3:6">
      <c r="C106" s="53">
        <v>45891</v>
      </c>
      <c r="D106" s="339">
        <v>939150.95</v>
      </c>
      <c r="E106" s="340"/>
      <c r="F106" s="50"/>
    </row>
    <row r="107" spans="3:6">
      <c r="C107" s="53">
        <v>45919</v>
      </c>
      <c r="D107" s="339">
        <v>1000475.45</v>
      </c>
      <c r="E107" s="340"/>
      <c r="F107" s="50"/>
    </row>
    <row r="108" spans="3:6">
      <c r="C108" s="53">
        <v>45925</v>
      </c>
      <c r="D108" s="339">
        <v>1176375.45</v>
      </c>
      <c r="E108" s="340"/>
      <c r="F108" s="50"/>
    </row>
    <row r="109" spans="3:6">
      <c r="C109" s="53">
        <v>45933</v>
      </c>
      <c r="D109" s="339">
        <v>996375.45</v>
      </c>
      <c r="E109" s="340"/>
      <c r="F109" s="50"/>
    </row>
    <row r="110" spans="3:6">
      <c r="C110" s="53">
        <v>45940</v>
      </c>
      <c r="D110" s="339">
        <v>1153177.81</v>
      </c>
      <c r="E110" s="340"/>
      <c r="F110" s="50"/>
    </row>
    <row r="111" spans="3:6">
      <c r="C111" s="53">
        <v>45947</v>
      </c>
      <c r="D111" s="339">
        <v>1198057.81</v>
      </c>
      <c r="E111" s="340"/>
      <c r="F111" s="50"/>
    </row>
    <row r="112" spans="3:6">
      <c r="C112" s="53">
        <v>45952</v>
      </c>
      <c r="D112" s="339">
        <v>1198057.81</v>
      </c>
      <c r="E112" s="340"/>
      <c r="F112" s="50"/>
    </row>
    <row r="113" spans="3:6">
      <c r="C113" s="53">
        <v>45961</v>
      </c>
      <c r="D113" s="339">
        <v>1248655.96</v>
      </c>
      <c r="E113" s="340"/>
      <c r="F113" s="50"/>
    </row>
    <row r="114" spans="3:6">
      <c r="C114" s="53">
        <v>45968</v>
      </c>
      <c r="D114" s="339">
        <v>1005514.96</v>
      </c>
      <c r="E114" s="340"/>
      <c r="F114" s="50"/>
    </row>
    <row r="115" spans="3:6">
      <c r="C115" s="53">
        <v>45975</v>
      </c>
      <c r="D115" s="339">
        <v>1264621.2</v>
      </c>
      <c r="E115" s="340"/>
      <c r="F115" s="50"/>
    </row>
    <row r="116" spans="3:6">
      <c r="C116" s="53">
        <v>45982</v>
      </c>
      <c r="D116" s="339">
        <v>1404576.09</v>
      </c>
      <c r="E116" s="340"/>
      <c r="F116" s="50"/>
    </row>
    <row r="117" spans="3:6">
      <c r="C117" s="53">
        <v>45989</v>
      </c>
      <c r="D117" s="339">
        <v>1466304.09</v>
      </c>
      <c r="E117" s="340"/>
      <c r="F117" s="50"/>
    </row>
    <row r="118" spans="3:6">
      <c r="C118" s="53">
        <v>45996</v>
      </c>
      <c r="D118" s="339">
        <v>1799130.97</v>
      </c>
      <c r="E118" s="340"/>
      <c r="F118" s="50"/>
    </row>
    <row r="119" spans="3:6">
      <c r="C119" s="53">
        <v>46003</v>
      </c>
      <c r="D119" s="339">
        <v>1789888.73</v>
      </c>
      <c r="E119" s="340"/>
      <c r="F119" s="50"/>
    </row>
    <row r="120" spans="3:6">
      <c r="C120" s="53">
        <v>46010</v>
      </c>
      <c r="D120" s="52">
        <v>1798206.17</v>
      </c>
      <c r="E120" s="52"/>
      <c r="F120" s="52"/>
    </row>
    <row r="121" spans="3:6">
      <c r="C121" s="53">
        <v>46017</v>
      </c>
      <c r="D121" s="52">
        <v>2075534.98</v>
      </c>
      <c r="E121" s="52"/>
      <c r="F121" s="52"/>
    </row>
    <row r="122" spans="3:6">
      <c r="C122" s="53">
        <v>46030</v>
      </c>
      <c r="D122" s="339">
        <v>2017439.47</v>
      </c>
      <c r="E122" s="340"/>
      <c r="F122" s="50"/>
    </row>
    <row r="123" spans="3:6">
      <c r="C123" s="53">
        <v>46042</v>
      </c>
      <c r="D123" s="339">
        <v>1363479.15</v>
      </c>
      <c r="E123" s="340"/>
      <c r="F123" s="50"/>
    </row>
    <row r="124" spans="3:6">
      <c r="C124" s="53">
        <v>46051</v>
      </c>
      <c r="D124" s="339">
        <v>1398760.15</v>
      </c>
      <c r="E124" s="340"/>
      <c r="F124" s="50"/>
    </row>
    <row r="125" spans="3:6">
      <c r="C125" s="53">
        <v>46066</v>
      </c>
      <c r="D125" s="52">
        <v>1044816.15</v>
      </c>
      <c r="E125" s="52"/>
      <c r="F125" s="52"/>
    </row>
    <row r="126" spans="3:6">
      <c r="C126" s="53">
        <v>46080</v>
      </c>
      <c r="D126" s="52">
        <v>1140612.15</v>
      </c>
      <c r="E126" s="52"/>
      <c r="F126" s="52"/>
    </row>
    <row r="127" spans="3:6">
      <c r="C127" s="53">
        <v>46087</v>
      </c>
      <c r="D127" s="339">
        <v>1291816.15</v>
      </c>
      <c r="E127" s="340"/>
      <c r="F127" s="50"/>
    </row>
    <row r="128" spans="3:6">
      <c r="C128" s="53">
        <v>46094</v>
      </c>
      <c r="D128" s="339">
        <v>1227305.15</v>
      </c>
      <c r="E128" s="340"/>
      <c r="F128" s="50"/>
    </row>
    <row r="129" spans="3:6">
      <c r="C129" s="53">
        <v>46114</v>
      </c>
      <c r="D129" s="339">
        <v>1360052.35</v>
      </c>
      <c r="E129" s="340"/>
      <c r="F129" s="50"/>
    </row>
    <row r="130" spans="3:6">
      <c r="C130" s="53">
        <v>46125</v>
      </c>
      <c r="D130" s="339">
        <v>1201161.35</v>
      </c>
      <c r="E130" s="340"/>
      <c r="F130" s="50"/>
    </row>
    <row r="131" spans="3:6">
      <c r="C131" s="53">
        <v>46136</v>
      </c>
      <c r="D131" s="339">
        <v>1205291.35</v>
      </c>
      <c r="E131" s="340"/>
      <c r="F131" s="50"/>
    </row>
    <row r="132" spans="3:6">
      <c r="C132" s="53">
        <v>46150</v>
      </c>
      <c r="D132" s="339">
        <v>1549145.35</v>
      </c>
      <c r="E132" s="340"/>
      <c r="F132" s="50"/>
    </row>
    <row r="133" spans="3:6">
      <c r="C133" s="53">
        <v>46157</v>
      </c>
      <c r="D133" s="339">
        <v>1666327.35</v>
      </c>
      <c r="E133" s="340"/>
      <c r="F133" s="50"/>
    </row>
    <row r="134" spans="3:6">
      <c r="C134" s="53">
        <v>46177</v>
      </c>
      <c r="D134" s="339">
        <v>1498577.75</v>
      </c>
      <c r="E134" s="340"/>
      <c r="F134" s="50"/>
    </row>
    <row r="135" spans="3:6">
      <c r="C135" s="53">
        <v>46185</v>
      </c>
      <c r="D135" s="339">
        <v>1512028.75</v>
      </c>
      <c r="E135" s="340"/>
      <c r="F135" s="50"/>
    </row>
    <row r="136" spans="3:6">
      <c r="C136" s="53">
        <v>46192</v>
      </c>
      <c r="D136" s="339">
        <v>1648022.75</v>
      </c>
      <c r="E136" s="340"/>
      <c r="F136" s="50"/>
    </row>
    <row r="137" spans="3:6">
      <c r="C137" s="53">
        <v>46199</v>
      </c>
      <c r="D137" s="339">
        <v>1253670.75</v>
      </c>
      <c r="E137" s="340"/>
      <c r="F137" s="50"/>
    </row>
    <row r="138" spans="3:6">
      <c r="C138" s="53">
        <v>46206</v>
      </c>
      <c r="D138" s="339">
        <v>1233630.75</v>
      </c>
      <c r="E138" s="340"/>
      <c r="F138" s="50"/>
    </row>
    <row r="139" spans="3:6">
      <c r="C139" s="53">
        <v>46213</v>
      </c>
      <c r="D139" s="339">
        <v>1394391.85</v>
      </c>
      <c r="E139" s="340"/>
      <c r="F139" s="50"/>
    </row>
    <row r="140" spans="3:6">
      <c r="C140" s="53">
        <v>46220</v>
      </c>
      <c r="D140" s="339">
        <v>1212911.88</v>
      </c>
      <c r="E140" s="340"/>
      <c r="F140" s="50"/>
    </row>
    <row r="141" spans="3:6">
      <c r="C141" s="53">
        <v>46227</v>
      </c>
      <c r="D141" s="339">
        <v>1239906.88</v>
      </c>
      <c r="E141" s="340"/>
      <c r="F141" s="50"/>
    </row>
    <row r="142" spans="3:6">
      <c r="C142" s="53">
        <v>46234</v>
      </c>
      <c r="D142" s="339">
        <v>1311978.88</v>
      </c>
      <c r="E142" s="340"/>
      <c r="F142" s="50"/>
    </row>
    <row r="143" spans="3:6">
      <c r="C143" s="5"/>
    </row>
    <row r="144" spans="3:6">
      <c r="C144" s="5"/>
    </row>
    <row r="145" spans="3:3">
      <c r="C145" s="5"/>
    </row>
    <row r="146" spans="3:3">
      <c r="C146" s="5"/>
    </row>
    <row r="147" spans="3:3">
      <c r="C147" s="5"/>
    </row>
    <row r="148" spans="3:3">
      <c r="C148" s="5"/>
    </row>
    <row r="149" spans="3:3">
      <c r="C149" s="5"/>
    </row>
    <row r="150" spans="3:3">
      <c r="C150" s="5"/>
    </row>
    <row r="151" spans="3:3">
      <c r="C151" s="5"/>
    </row>
    <row r="152" spans="3:3">
      <c r="C152" s="5"/>
    </row>
    <row r="153" spans="3:3">
      <c r="C153" s="5"/>
    </row>
    <row r="154" spans="3:3">
      <c r="C154" s="5"/>
    </row>
    <row r="155" spans="3:3">
      <c r="C155" s="5"/>
    </row>
    <row r="156" spans="3:3">
      <c r="C156" s="5"/>
    </row>
    <row r="157" spans="3:3">
      <c r="C157" s="5"/>
    </row>
    <row r="158" spans="3:3">
      <c r="C158" s="5"/>
    </row>
    <row r="159" spans="3:3">
      <c r="C159" s="5"/>
    </row>
    <row r="160" spans="3:3">
      <c r="C160" s="5"/>
    </row>
    <row r="161" spans="3:3">
      <c r="C161" s="5"/>
    </row>
    <row r="162" spans="3:3">
      <c r="C162" s="5"/>
    </row>
    <row r="163" spans="3:3">
      <c r="C163" s="5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5" spans="3:3">
      <c r="C175" s="5"/>
    </row>
    <row r="176" spans="3:3">
      <c r="C176" s="5"/>
    </row>
    <row r="177" spans="3:3">
      <c r="C177" s="5"/>
    </row>
    <row r="178" spans="3:3">
      <c r="C178" s="5"/>
    </row>
    <row r="179" spans="3:3">
      <c r="C179" s="5"/>
    </row>
    <row r="180" spans="3:3">
      <c r="C180" s="5"/>
    </row>
    <row r="181" spans="3:3">
      <c r="C181" s="5"/>
    </row>
    <row r="182" spans="3:3">
      <c r="C182" s="5"/>
    </row>
    <row r="183" spans="3:3">
      <c r="C183" s="5"/>
    </row>
    <row r="184" spans="3:3">
      <c r="C184" s="5"/>
    </row>
    <row r="185" spans="3:3">
      <c r="C185" s="5"/>
    </row>
    <row r="186" spans="3:3">
      <c r="C186" s="5"/>
    </row>
    <row r="187" spans="3:3">
      <c r="C187" s="5"/>
    </row>
    <row r="188" spans="3:3">
      <c r="C188" s="5"/>
    </row>
    <row r="189" spans="3:3">
      <c r="C189" s="5"/>
    </row>
    <row r="190" spans="3:3">
      <c r="C190" s="5"/>
    </row>
  </sheetData>
  <autoFilter xmlns:etc="http://www.wps.cn/officeDocument/2017/etCustomData" ref="A6:I43" etc:filterBottomFollowUsedRange="0">
    <extLst/>
  </autoFilter>
  <mergeCells count="96">
    <mergeCell ref="C3:G3"/>
    <mergeCell ref="C42:G42"/>
    <mergeCell ref="H42:I42"/>
    <mergeCell ref="C45:G45"/>
    <mergeCell ref="C46:G46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</mergeCells>
  <pageMargins left="0.75" right="0.75" top="1" bottom="1" header="0.5" footer="0.5"/>
  <pageSetup paperSize="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11"/>
  <sheetViews>
    <sheetView topLeftCell="A84" workbookViewId="0">
      <selection activeCell="E198" sqref="E198:G198"/>
    </sheetView>
  </sheetViews>
  <sheetFormatPr defaultColWidth="11" defaultRowHeight="17.6"/>
  <cols>
    <col min="2" max="2" width="37" customWidth="1"/>
    <col min="3" max="3" width="7.75" customWidth="1"/>
    <col min="5" max="5" width="4" customWidth="1"/>
    <col min="6" max="6" width="7.75" customWidth="1"/>
    <col min="7" max="7" width="6.625" customWidth="1"/>
    <col min="8" max="8" width="10.625" customWidth="1"/>
    <col min="9" max="9" width="11.375" customWidth="1"/>
    <col min="10" max="10" width="34.875" customWidth="1"/>
  </cols>
  <sheetData>
    <row r="1" ht="18.35"/>
    <row r="2" ht="18.35" spans="2:19">
      <c r="D2" s="166" t="s">
        <v>659</v>
      </c>
      <c r="E2" s="167"/>
      <c r="F2" s="167"/>
      <c r="G2" s="167"/>
      <c r="H2" s="168"/>
      <c r="I2" s="4"/>
      <c r="J2" s="147"/>
    </row>
    <row r="3" spans="2:19">
      <c r="D3" s="5"/>
      <c r="G3" s="6"/>
      <c r="H3" s="5"/>
      <c r="I3" s="4"/>
      <c r="J3" s="147"/>
    </row>
    <row r="4" ht="18.35" spans="2:19">
      <c r="D4" s="5"/>
      <c r="G4" s="6"/>
      <c r="H4" s="5"/>
      <c r="I4" s="4"/>
    </row>
    <row r="5" ht="18.35" spans="2:19">
      <c r="B5" s="139" t="s">
        <v>85</v>
      </c>
      <c r="C5" s="142" t="s">
        <v>86</v>
      </c>
      <c r="D5" s="141" t="s">
        <v>87</v>
      </c>
      <c r="E5" s="142" t="s">
        <v>88</v>
      </c>
      <c r="F5" s="142" t="s">
        <v>89</v>
      </c>
      <c r="G5" s="143" t="s">
        <v>90</v>
      </c>
      <c r="H5" s="144" t="s">
        <v>91</v>
      </c>
      <c r="I5" s="145" t="s">
        <v>92</v>
      </c>
      <c r="J5" s="146" t="s">
        <v>93</v>
      </c>
    </row>
    <row r="6" spans="2:19">
      <c r="B6" s="148" t="s">
        <v>660</v>
      </c>
      <c r="C6" s="149" t="s">
        <v>661</v>
      </c>
      <c r="D6" s="150">
        <v>44606</v>
      </c>
      <c r="E6" s="149" t="s">
        <v>114</v>
      </c>
      <c r="F6" s="149" t="s">
        <v>103</v>
      </c>
      <c r="G6" s="16" t="s">
        <v>662</v>
      </c>
      <c r="H6" s="150">
        <v>44893</v>
      </c>
      <c r="I6" s="151">
        <v>134393.12</v>
      </c>
      <c r="J6" s="152" t="s">
        <v>663</v>
      </c>
      <c r="K6" s="322"/>
      <c r="L6" s="26"/>
      <c r="M6" s="27"/>
      <c r="N6" s="26"/>
      <c r="O6" s="26"/>
      <c r="P6" s="6"/>
      <c r="Q6" s="29"/>
      <c r="R6" s="31"/>
      <c r="S6" s="26"/>
    </row>
    <row r="7" spans="2:19">
      <c r="B7" s="19" t="s">
        <v>664</v>
      </c>
      <c r="C7" s="21"/>
      <c r="D7" s="22"/>
      <c r="E7" s="21"/>
      <c r="F7" s="21"/>
      <c r="G7" s="23"/>
      <c r="H7" s="22"/>
      <c r="I7" s="24">
        <f>SUM(I6:I6)</f>
        <v>134393.12</v>
      </c>
      <c r="J7" s="25"/>
      <c r="K7" s="322"/>
      <c r="L7" s="26"/>
      <c r="M7" s="27"/>
      <c r="N7" s="26"/>
      <c r="O7" s="26"/>
      <c r="P7" s="6"/>
      <c r="Q7" s="29"/>
      <c r="R7" s="31"/>
      <c r="S7" s="26"/>
    </row>
    <row r="8" spans="2:19">
      <c r="B8" s="58" t="s">
        <v>665</v>
      </c>
      <c r="C8" s="228" t="s">
        <v>661</v>
      </c>
      <c r="D8" s="293">
        <v>44727</v>
      </c>
      <c r="E8" s="228" t="s">
        <v>114</v>
      </c>
      <c r="F8" s="228" t="s">
        <v>103</v>
      </c>
      <c r="G8" s="80" t="s">
        <v>666</v>
      </c>
      <c r="H8" s="293">
        <v>44855</v>
      </c>
      <c r="I8" s="346">
        <v>27066.96</v>
      </c>
      <c r="J8" s="212" t="s">
        <v>98</v>
      </c>
      <c r="K8" s="322"/>
      <c r="L8" s="26"/>
      <c r="M8" s="27"/>
      <c r="N8" s="26"/>
      <c r="O8" s="26"/>
      <c r="P8" s="6"/>
      <c r="Q8" s="29"/>
      <c r="R8" s="31"/>
      <c r="S8" s="26"/>
    </row>
    <row r="9" spans="2:19">
      <c r="B9" s="223" t="s">
        <v>665</v>
      </c>
      <c r="C9" s="21" t="s">
        <v>661</v>
      </c>
      <c r="D9" s="22">
        <v>44727</v>
      </c>
      <c r="E9" s="21" t="s">
        <v>114</v>
      </c>
      <c r="F9" s="21" t="s">
        <v>103</v>
      </c>
      <c r="G9" s="23" t="s">
        <v>667</v>
      </c>
      <c r="H9" s="22">
        <v>44862</v>
      </c>
      <c r="I9" s="347">
        <v>27066.96</v>
      </c>
      <c r="J9" s="214" t="s">
        <v>98</v>
      </c>
      <c r="K9" s="322"/>
      <c r="L9" s="26"/>
      <c r="M9" s="27"/>
      <c r="N9" s="26"/>
      <c r="O9" s="26"/>
      <c r="P9" s="6"/>
      <c r="Q9" s="29"/>
      <c r="R9" s="31"/>
      <c r="S9" s="26"/>
    </row>
    <row r="10" spans="2:19">
      <c r="B10" s="223" t="s">
        <v>665</v>
      </c>
      <c r="C10" s="21" t="s">
        <v>661</v>
      </c>
      <c r="D10" s="22">
        <v>44727</v>
      </c>
      <c r="E10" s="21" t="s">
        <v>114</v>
      </c>
      <c r="F10" s="21" t="s">
        <v>103</v>
      </c>
      <c r="G10" s="23" t="s">
        <v>668</v>
      </c>
      <c r="H10" s="22">
        <v>44872</v>
      </c>
      <c r="I10" s="347">
        <v>27066.96</v>
      </c>
      <c r="J10" s="214" t="s">
        <v>98</v>
      </c>
      <c r="K10" s="322"/>
      <c r="L10" s="26"/>
      <c r="M10" s="27"/>
      <c r="N10" s="26"/>
      <c r="O10" s="26"/>
      <c r="P10" s="6"/>
      <c r="Q10" s="29"/>
      <c r="R10" s="31"/>
      <c r="S10" s="26"/>
    </row>
    <row r="11" spans="2:19">
      <c r="B11" s="223" t="s">
        <v>665</v>
      </c>
      <c r="C11" s="21" t="s">
        <v>661</v>
      </c>
      <c r="D11" s="22">
        <v>44727</v>
      </c>
      <c r="E11" s="21" t="s">
        <v>114</v>
      </c>
      <c r="F11" s="21" t="s">
        <v>103</v>
      </c>
      <c r="G11" s="23" t="s">
        <v>669</v>
      </c>
      <c r="H11" s="22">
        <v>44876</v>
      </c>
      <c r="I11" s="347">
        <v>27066.96</v>
      </c>
      <c r="J11" s="214" t="s">
        <v>98</v>
      </c>
      <c r="K11" s="322"/>
      <c r="L11" s="26"/>
      <c r="M11" s="27"/>
      <c r="N11" s="26"/>
      <c r="O11" s="26"/>
      <c r="P11" s="6"/>
      <c r="Q11" s="29"/>
      <c r="R11" s="31"/>
      <c r="S11" s="26"/>
    </row>
    <row r="12" spans="2:19">
      <c r="B12" s="223" t="s">
        <v>665</v>
      </c>
      <c r="C12" s="21" t="s">
        <v>661</v>
      </c>
      <c r="D12" s="22">
        <v>44727</v>
      </c>
      <c r="E12" s="21" t="s">
        <v>114</v>
      </c>
      <c r="F12" s="21" t="s">
        <v>103</v>
      </c>
      <c r="G12" s="23" t="s">
        <v>670</v>
      </c>
      <c r="H12" s="22">
        <v>44883</v>
      </c>
      <c r="I12" s="347">
        <v>27066.96</v>
      </c>
      <c r="J12" s="214" t="s">
        <v>98</v>
      </c>
      <c r="K12" s="322"/>
      <c r="L12" s="26"/>
      <c r="M12" s="27"/>
      <c r="N12" s="26"/>
      <c r="O12" s="26"/>
      <c r="P12" s="6"/>
      <c r="Q12" s="29"/>
      <c r="R12" s="31"/>
      <c r="S12" s="26"/>
    </row>
    <row r="13" spans="2:19">
      <c r="B13" s="64" t="s">
        <v>665</v>
      </c>
      <c r="C13" s="229" t="s">
        <v>661</v>
      </c>
      <c r="D13" s="295">
        <v>44789</v>
      </c>
      <c r="E13" s="229" t="s">
        <v>114</v>
      </c>
      <c r="F13" s="229" t="s">
        <v>103</v>
      </c>
      <c r="G13" s="89" t="s">
        <v>671</v>
      </c>
      <c r="H13" s="295">
        <v>44890</v>
      </c>
      <c r="I13" s="348">
        <v>135534.8</v>
      </c>
      <c r="J13" s="217" t="s">
        <v>98</v>
      </c>
      <c r="K13" s="322"/>
      <c r="L13" s="26"/>
      <c r="M13" s="27"/>
      <c r="N13" s="26"/>
      <c r="O13" s="26"/>
      <c r="P13" s="6"/>
      <c r="Q13" s="29"/>
      <c r="R13" s="31"/>
      <c r="S13" s="26"/>
    </row>
    <row r="14" spans="2:19">
      <c r="B14" s="19" t="s">
        <v>672</v>
      </c>
      <c r="C14" s="21"/>
      <c r="D14" s="22"/>
      <c r="E14" s="21"/>
      <c r="F14" s="21"/>
      <c r="G14" s="23"/>
      <c r="H14" s="22"/>
      <c r="I14" s="24">
        <f>SUM(I8:I13)</f>
        <v>270869.6</v>
      </c>
      <c r="J14" s="25"/>
      <c r="K14" s="322"/>
      <c r="L14" s="26"/>
      <c r="M14" s="27"/>
      <c r="N14" s="26"/>
      <c r="O14" s="26"/>
      <c r="P14" s="6"/>
      <c r="Q14" s="29"/>
      <c r="R14" s="31"/>
      <c r="S14" s="26"/>
    </row>
    <row r="15" spans="2:19">
      <c r="B15" s="58" t="s">
        <v>673</v>
      </c>
      <c r="C15" s="228" t="s">
        <v>661</v>
      </c>
      <c r="D15" s="293">
        <v>45012</v>
      </c>
      <c r="E15" s="228" t="s">
        <v>114</v>
      </c>
      <c r="F15" s="228" t="s">
        <v>103</v>
      </c>
      <c r="G15" s="80" t="s">
        <v>674</v>
      </c>
      <c r="H15" s="293">
        <v>45163</v>
      </c>
      <c r="I15" s="62">
        <v>23624.66</v>
      </c>
      <c r="J15" s="212" t="s">
        <v>98</v>
      </c>
      <c r="K15" s="322"/>
      <c r="L15" s="26"/>
      <c r="M15" s="27"/>
      <c r="N15" s="26"/>
      <c r="O15" s="26"/>
      <c r="P15" s="6"/>
      <c r="Q15" s="29"/>
      <c r="R15" s="31"/>
      <c r="S15" s="26"/>
    </row>
    <row r="16" spans="2:19">
      <c r="B16" s="64" t="s">
        <v>673</v>
      </c>
      <c r="C16" s="229" t="s">
        <v>661</v>
      </c>
      <c r="D16" s="295">
        <v>45189</v>
      </c>
      <c r="E16" s="229" t="s">
        <v>114</v>
      </c>
      <c r="F16" s="229" t="s">
        <v>103</v>
      </c>
      <c r="G16" s="89" t="s">
        <v>675</v>
      </c>
      <c r="H16" s="295">
        <v>45150</v>
      </c>
      <c r="I16" s="68">
        <v>23000</v>
      </c>
      <c r="J16" s="217" t="s">
        <v>676</v>
      </c>
      <c r="K16" s="322"/>
      <c r="L16" s="26"/>
      <c r="M16" s="27"/>
      <c r="N16" s="26"/>
      <c r="O16" s="26"/>
      <c r="P16" s="6"/>
      <c r="Q16" s="29"/>
      <c r="R16" s="31"/>
      <c r="S16" s="26"/>
    </row>
    <row r="17" spans="2:19">
      <c r="B17" s="19" t="s">
        <v>677</v>
      </c>
      <c r="C17" s="21"/>
      <c r="D17" s="22"/>
      <c r="E17" s="21"/>
      <c r="F17" s="21"/>
      <c r="G17" s="23"/>
      <c r="H17" s="22"/>
      <c r="I17" s="24">
        <f>SUM(I15:I16)</f>
        <v>46624.66</v>
      </c>
      <c r="J17" s="25"/>
      <c r="K17" s="322"/>
      <c r="L17" s="26"/>
      <c r="M17" s="27"/>
      <c r="N17" s="26"/>
      <c r="O17" s="26"/>
      <c r="P17" s="6"/>
      <c r="Q17" s="29"/>
      <c r="R17" s="31"/>
      <c r="S17" s="26"/>
    </row>
    <row r="18" spans="2:19">
      <c r="B18" s="58" t="s">
        <v>678</v>
      </c>
      <c r="C18" s="228" t="s">
        <v>661</v>
      </c>
      <c r="D18" s="293">
        <v>45568</v>
      </c>
      <c r="E18" s="228" t="s">
        <v>96</v>
      </c>
      <c r="F18" s="228" t="s">
        <v>115</v>
      </c>
      <c r="G18" s="80" t="s">
        <v>679</v>
      </c>
      <c r="H18" s="293">
        <v>45736</v>
      </c>
      <c r="I18" s="62">
        <v>15000</v>
      </c>
      <c r="J18" s="212" t="s">
        <v>98</v>
      </c>
      <c r="K18" s="322"/>
      <c r="L18" s="26"/>
      <c r="M18" s="27"/>
      <c r="N18" s="26"/>
      <c r="O18" s="26"/>
      <c r="P18" s="6"/>
      <c r="Q18" s="29"/>
      <c r="R18" s="31"/>
      <c r="S18" s="26"/>
    </row>
    <row r="19" spans="2:19">
      <c r="B19" s="223" t="s">
        <v>680</v>
      </c>
      <c r="C19" s="21" t="s">
        <v>661</v>
      </c>
      <c r="D19" s="22">
        <v>45798</v>
      </c>
      <c r="E19" s="21" t="s">
        <v>114</v>
      </c>
      <c r="F19" s="21" t="s">
        <v>185</v>
      </c>
      <c r="G19" s="23" t="s">
        <v>681</v>
      </c>
      <c r="H19" s="22">
        <v>45838</v>
      </c>
      <c r="I19" s="349">
        <v>50734</v>
      </c>
      <c r="J19" s="214" t="s">
        <v>682</v>
      </c>
      <c r="K19" s="322"/>
      <c r="L19" s="26"/>
      <c r="M19" s="27"/>
      <c r="N19" s="26"/>
      <c r="O19" s="26"/>
      <c r="P19" s="6"/>
      <c r="Q19" s="29"/>
      <c r="R19" s="31"/>
      <c r="S19" s="26"/>
    </row>
    <row r="20" spans="2:19">
      <c r="B20" s="223" t="s">
        <v>683</v>
      </c>
      <c r="C20" s="21" t="s">
        <v>661</v>
      </c>
      <c r="D20" s="22">
        <v>45713</v>
      </c>
      <c r="E20" s="21" t="s">
        <v>114</v>
      </c>
      <c r="F20" s="21" t="s">
        <v>103</v>
      </c>
      <c r="G20" s="23" t="s">
        <v>684</v>
      </c>
      <c r="H20" s="22">
        <v>45828</v>
      </c>
      <c r="I20" s="349">
        <v>100000</v>
      </c>
      <c r="J20" s="214" t="s">
        <v>98</v>
      </c>
      <c r="K20" s="322"/>
      <c r="L20" s="26"/>
      <c r="M20" s="27"/>
      <c r="N20" s="26"/>
      <c r="O20" s="26"/>
      <c r="P20" s="6"/>
      <c r="Q20" s="29"/>
      <c r="R20" s="31"/>
      <c r="S20" s="26"/>
    </row>
    <row r="21" spans="2:19">
      <c r="B21" s="223" t="s">
        <v>685</v>
      </c>
      <c r="C21" s="21" t="s">
        <v>661</v>
      </c>
      <c r="D21" s="22">
        <v>45897</v>
      </c>
      <c r="E21" s="21" t="s">
        <v>114</v>
      </c>
      <c r="F21" s="21" t="s">
        <v>103</v>
      </c>
      <c r="G21" s="23" t="s">
        <v>686</v>
      </c>
      <c r="H21" s="22">
        <v>46010</v>
      </c>
      <c r="I21" s="349">
        <v>35000</v>
      </c>
      <c r="J21" s="214" t="s">
        <v>98</v>
      </c>
      <c r="K21" s="322"/>
      <c r="L21" s="26"/>
      <c r="M21" s="27"/>
      <c r="N21" s="26"/>
      <c r="O21" s="26"/>
      <c r="P21" s="6"/>
      <c r="Q21" s="29"/>
      <c r="R21" s="31"/>
      <c r="S21" s="26"/>
    </row>
    <row r="22" spans="2:19">
      <c r="B22" s="223" t="s">
        <v>685</v>
      </c>
      <c r="C22" s="21" t="s">
        <v>661</v>
      </c>
      <c r="D22" s="22">
        <v>45897</v>
      </c>
      <c r="E22" s="21" t="s">
        <v>114</v>
      </c>
      <c r="F22" s="21" t="s">
        <v>103</v>
      </c>
      <c r="G22" s="23" t="s">
        <v>687</v>
      </c>
      <c r="H22" s="22">
        <v>46017</v>
      </c>
      <c r="I22" s="349">
        <v>35000</v>
      </c>
      <c r="J22" s="214" t="s">
        <v>98</v>
      </c>
      <c r="K22" s="322"/>
      <c r="L22" s="26"/>
      <c r="M22" s="27"/>
      <c r="N22" s="26"/>
      <c r="O22" s="26"/>
      <c r="P22" s="6"/>
      <c r="Q22" s="29"/>
      <c r="R22" s="31"/>
      <c r="S22" s="26"/>
    </row>
    <row r="23" spans="2:19">
      <c r="B23" s="223" t="s">
        <v>685</v>
      </c>
      <c r="C23" s="21" t="s">
        <v>661</v>
      </c>
      <c r="D23" s="22">
        <v>45897</v>
      </c>
      <c r="E23" s="21" t="s">
        <v>114</v>
      </c>
      <c r="F23" s="21" t="s">
        <v>103</v>
      </c>
      <c r="G23" s="23" t="s">
        <v>688</v>
      </c>
      <c r="H23" s="22">
        <v>46022</v>
      </c>
      <c r="I23" s="349">
        <v>35000</v>
      </c>
      <c r="J23" s="214" t="s">
        <v>98</v>
      </c>
      <c r="K23" s="322"/>
      <c r="L23" s="26"/>
      <c r="M23" s="27"/>
      <c r="N23" s="26"/>
      <c r="O23" s="26"/>
      <c r="P23" s="6"/>
      <c r="Q23" s="29"/>
      <c r="R23" s="31"/>
      <c r="S23" s="26"/>
    </row>
    <row r="24" spans="2:19">
      <c r="B24" s="223" t="s">
        <v>685</v>
      </c>
      <c r="C24" s="21" t="s">
        <v>661</v>
      </c>
      <c r="D24" s="22">
        <v>45897</v>
      </c>
      <c r="E24" s="21" t="s">
        <v>114</v>
      </c>
      <c r="F24" s="21" t="s">
        <v>103</v>
      </c>
      <c r="G24" s="23" t="s">
        <v>689</v>
      </c>
      <c r="H24" s="22">
        <v>46031</v>
      </c>
      <c r="I24" s="349">
        <v>35000</v>
      </c>
      <c r="J24" s="214" t="s">
        <v>98</v>
      </c>
      <c r="K24" s="322"/>
      <c r="L24" s="26"/>
      <c r="M24" s="27"/>
      <c r="N24" s="26"/>
      <c r="O24" s="26"/>
      <c r="P24" s="6"/>
      <c r="Q24" s="29"/>
      <c r="R24" s="31"/>
      <c r="S24" s="26"/>
    </row>
    <row r="25" spans="2:19">
      <c r="B25" s="223" t="s">
        <v>690</v>
      </c>
      <c r="C25" s="21" t="s">
        <v>661</v>
      </c>
      <c r="D25" s="22">
        <v>45896</v>
      </c>
      <c r="E25" s="21" t="s">
        <v>114</v>
      </c>
      <c r="F25" s="21" t="s">
        <v>106</v>
      </c>
      <c r="G25" s="23" t="s">
        <v>691</v>
      </c>
      <c r="H25" s="22">
        <v>46048</v>
      </c>
      <c r="I25" s="349">
        <v>11423</v>
      </c>
      <c r="J25" s="214" t="s">
        <v>692</v>
      </c>
      <c r="K25" s="322"/>
      <c r="L25" s="26"/>
      <c r="M25" s="27"/>
      <c r="N25" s="26"/>
      <c r="O25" s="26"/>
      <c r="P25" s="6"/>
      <c r="Q25" s="29"/>
      <c r="R25" s="31"/>
      <c r="S25" s="26"/>
    </row>
    <row r="26" spans="2:19">
      <c r="B26" s="223" t="s">
        <v>690</v>
      </c>
      <c r="C26" s="21" t="s">
        <v>661</v>
      </c>
      <c r="D26" s="22">
        <v>45896</v>
      </c>
      <c r="E26" s="21" t="s">
        <v>114</v>
      </c>
      <c r="F26" s="21" t="s">
        <v>106</v>
      </c>
      <c r="G26" s="23" t="s">
        <v>693</v>
      </c>
      <c r="H26" s="22">
        <v>46050</v>
      </c>
      <c r="I26" s="349">
        <v>56514.51</v>
      </c>
      <c r="J26" s="214" t="s">
        <v>98</v>
      </c>
      <c r="K26" s="322"/>
      <c r="L26" s="26"/>
      <c r="M26" s="27"/>
      <c r="N26" s="26"/>
      <c r="O26" s="26"/>
      <c r="P26" s="6"/>
      <c r="Q26" s="29"/>
      <c r="R26" s="31"/>
      <c r="S26" s="26"/>
    </row>
    <row r="27" spans="2:19">
      <c r="B27" s="223" t="s">
        <v>694</v>
      </c>
      <c r="C27" s="21" t="s">
        <v>661</v>
      </c>
      <c r="D27" s="22">
        <v>45896</v>
      </c>
      <c r="E27" s="21" t="s">
        <v>96</v>
      </c>
      <c r="F27" s="21" t="s">
        <v>106</v>
      </c>
      <c r="G27" s="23" t="s">
        <v>695</v>
      </c>
      <c r="H27" s="22">
        <v>46121</v>
      </c>
      <c r="I27" s="349">
        <v>56900</v>
      </c>
      <c r="J27" s="214" t="s">
        <v>98</v>
      </c>
      <c r="K27" s="322"/>
      <c r="L27" s="26"/>
      <c r="M27" s="27"/>
      <c r="N27" s="26"/>
      <c r="O27" s="26"/>
      <c r="P27" s="6"/>
      <c r="Q27" s="29"/>
      <c r="R27" s="31"/>
      <c r="S27" s="26"/>
    </row>
    <row r="28" spans="2:19">
      <c r="B28" s="223" t="s">
        <v>694</v>
      </c>
      <c r="C28" s="21" t="s">
        <v>661</v>
      </c>
      <c r="D28" s="22">
        <v>45933</v>
      </c>
      <c r="E28" s="21" t="s">
        <v>96</v>
      </c>
      <c r="F28" s="21" t="s">
        <v>106</v>
      </c>
      <c r="G28" s="23" t="s">
        <v>696</v>
      </c>
      <c r="H28" s="22">
        <v>46122</v>
      </c>
      <c r="I28" s="349">
        <v>56702.15</v>
      </c>
      <c r="J28" s="214" t="s">
        <v>98</v>
      </c>
      <c r="K28" s="322"/>
      <c r="L28" s="26"/>
      <c r="M28" s="27"/>
      <c r="N28" s="26"/>
      <c r="O28" s="26"/>
      <c r="P28" s="6"/>
      <c r="Q28" s="29"/>
      <c r="R28" s="31"/>
      <c r="S28" s="26"/>
    </row>
    <row r="29" spans="2:19">
      <c r="B29" s="223" t="s">
        <v>694</v>
      </c>
      <c r="C29" s="21" t="s">
        <v>661</v>
      </c>
      <c r="D29" s="22">
        <v>45933</v>
      </c>
      <c r="E29" s="21" t="s">
        <v>96</v>
      </c>
      <c r="F29" s="21" t="s">
        <v>106</v>
      </c>
      <c r="G29" s="23" t="s">
        <v>697</v>
      </c>
      <c r="H29" s="22">
        <v>46127</v>
      </c>
      <c r="I29" s="349">
        <v>48500</v>
      </c>
      <c r="J29" s="214" t="s">
        <v>98</v>
      </c>
      <c r="K29" s="322"/>
      <c r="L29" s="26"/>
      <c r="M29" s="27"/>
      <c r="N29" s="26"/>
      <c r="O29" s="26"/>
      <c r="P29" s="6"/>
      <c r="Q29" s="29"/>
      <c r="R29" s="31"/>
      <c r="S29" s="26"/>
    </row>
    <row r="30" spans="2:19">
      <c r="B30" s="223" t="s">
        <v>694</v>
      </c>
      <c r="C30" s="21" t="s">
        <v>661</v>
      </c>
      <c r="D30" s="22">
        <v>45933</v>
      </c>
      <c r="E30" s="21" t="s">
        <v>96</v>
      </c>
      <c r="F30" s="21" t="s">
        <v>106</v>
      </c>
      <c r="G30" s="23" t="s">
        <v>698</v>
      </c>
      <c r="H30" s="22">
        <v>46128</v>
      </c>
      <c r="I30" s="349">
        <v>48300</v>
      </c>
      <c r="J30" s="214" t="s">
        <v>98</v>
      </c>
      <c r="K30" s="322"/>
      <c r="L30" s="26"/>
      <c r="M30" s="27"/>
      <c r="N30" s="26"/>
      <c r="O30" s="26"/>
      <c r="P30" s="6"/>
      <c r="Q30" s="29"/>
      <c r="R30" s="31"/>
      <c r="S30" s="26"/>
    </row>
    <row r="31" spans="2:19">
      <c r="B31" s="223" t="s">
        <v>699</v>
      </c>
      <c r="C31" s="21" t="s">
        <v>661</v>
      </c>
      <c r="D31" s="22">
        <v>45884</v>
      </c>
      <c r="E31" s="21" t="s">
        <v>96</v>
      </c>
      <c r="F31" s="21" t="s">
        <v>115</v>
      </c>
      <c r="G31" s="23" t="s">
        <v>700</v>
      </c>
      <c r="H31" s="22">
        <v>46142</v>
      </c>
      <c r="I31" s="349">
        <v>200000</v>
      </c>
      <c r="J31" s="214" t="s">
        <v>98</v>
      </c>
      <c r="K31" s="322"/>
      <c r="L31" s="26"/>
      <c r="M31" s="27"/>
      <c r="N31" s="26"/>
      <c r="O31" s="26"/>
      <c r="P31" s="6"/>
      <c r="Q31" s="29"/>
      <c r="R31" s="31"/>
      <c r="S31" s="26"/>
    </row>
    <row r="32" spans="2:19">
      <c r="B32" s="223" t="s">
        <v>694</v>
      </c>
      <c r="C32" s="21" t="s">
        <v>661</v>
      </c>
      <c r="D32" s="22">
        <v>45968</v>
      </c>
      <c r="E32" s="21" t="s">
        <v>96</v>
      </c>
      <c r="F32" s="21" t="s">
        <v>106</v>
      </c>
      <c r="G32" s="23" t="s">
        <v>701</v>
      </c>
      <c r="H32" s="22">
        <v>46149</v>
      </c>
      <c r="I32" s="349">
        <v>43200</v>
      </c>
      <c r="J32" s="214" t="s">
        <v>98</v>
      </c>
      <c r="K32" s="322"/>
      <c r="L32" s="26"/>
      <c r="M32" s="27"/>
      <c r="N32" s="26"/>
      <c r="O32" s="26"/>
      <c r="P32" s="6"/>
      <c r="Q32" s="29"/>
      <c r="R32" s="31"/>
      <c r="S32" s="26"/>
    </row>
    <row r="33" spans="2:19">
      <c r="B33" s="223" t="s">
        <v>694</v>
      </c>
      <c r="C33" s="21" t="s">
        <v>661</v>
      </c>
      <c r="D33" s="22">
        <v>45968</v>
      </c>
      <c r="E33" s="21" t="s">
        <v>96</v>
      </c>
      <c r="F33" s="21" t="s">
        <v>106</v>
      </c>
      <c r="G33" s="23" t="s">
        <v>702</v>
      </c>
      <c r="H33" s="22">
        <v>46150</v>
      </c>
      <c r="I33" s="349">
        <v>43000</v>
      </c>
      <c r="J33" s="214" t="s">
        <v>98</v>
      </c>
      <c r="K33" s="322"/>
      <c r="L33" s="26"/>
      <c r="M33" s="27"/>
      <c r="N33" s="26"/>
      <c r="O33" s="26"/>
      <c r="P33" s="6"/>
      <c r="Q33" s="29"/>
      <c r="R33" s="31"/>
      <c r="S33" s="26"/>
    </row>
    <row r="34" spans="2:19">
      <c r="B34" s="223" t="s">
        <v>694</v>
      </c>
      <c r="C34" s="21" t="s">
        <v>661</v>
      </c>
      <c r="D34" s="22">
        <v>45980</v>
      </c>
      <c r="E34" s="21" t="s">
        <v>96</v>
      </c>
      <c r="F34" s="21" t="s">
        <v>106</v>
      </c>
      <c r="G34" s="23" t="s">
        <v>703</v>
      </c>
      <c r="H34" s="22">
        <v>46155</v>
      </c>
      <c r="I34" s="349">
        <v>42100</v>
      </c>
      <c r="J34" s="214"/>
      <c r="K34" s="322"/>
      <c r="L34" s="26"/>
      <c r="M34" s="27"/>
      <c r="N34" s="26"/>
      <c r="O34" s="26"/>
      <c r="P34" s="6"/>
      <c r="Q34" s="29"/>
      <c r="R34" s="31"/>
      <c r="S34" s="26"/>
    </row>
    <row r="35" spans="2:19">
      <c r="B35" s="223" t="s">
        <v>694</v>
      </c>
      <c r="C35" s="21" t="s">
        <v>661</v>
      </c>
      <c r="D35" s="22">
        <v>45980</v>
      </c>
      <c r="E35" s="21" t="s">
        <v>96</v>
      </c>
      <c r="F35" s="21" t="s">
        <v>106</v>
      </c>
      <c r="G35" s="23" t="s">
        <v>704</v>
      </c>
      <c r="H35" s="22">
        <v>46157</v>
      </c>
      <c r="I35" s="349">
        <v>41900</v>
      </c>
      <c r="J35" s="214" t="s">
        <v>98</v>
      </c>
      <c r="K35" s="322"/>
      <c r="L35" s="26"/>
      <c r="M35" s="27"/>
      <c r="N35" s="26"/>
      <c r="O35" s="26"/>
      <c r="P35" s="6"/>
      <c r="Q35" s="29"/>
      <c r="R35" s="31"/>
      <c r="S35" s="26"/>
    </row>
    <row r="36" spans="2:19">
      <c r="B36" s="223" t="s">
        <v>694</v>
      </c>
      <c r="C36" s="21" t="s">
        <v>661</v>
      </c>
      <c r="D36" s="22">
        <v>45980</v>
      </c>
      <c r="E36" s="21" t="s">
        <v>96</v>
      </c>
      <c r="F36" s="21" t="s">
        <v>106</v>
      </c>
      <c r="G36" s="23" t="s">
        <v>705</v>
      </c>
      <c r="H36" s="22">
        <v>46160</v>
      </c>
      <c r="I36" s="349">
        <v>41800</v>
      </c>
      <c r="J36" s="214" t="s">
        <v>98</v>
      </c>
      <c r="K36" s="322"/>
      <c r="L36" s="26"/>
      <c r="M36" s="27"/>
      <c r="N36" s="26"/>
      <c r="O36" s="26"/>
      <c r="P36" s="6"/>
      <c r="Q36" s="29"/>
      <c r="R36" s="31"/>
      <c r="S36" s="26"/>
    </row>
    <row r="37" spans="2:19">
      <c r="B37" s="223" t="s">
        <v>694</v>
      </c>
      <c r="C37" s="21" t="s">
        <v>661</v>
      </c>
      <c r="D37" s="22">
        <v>45980</v>
      </c>
      <c r="E37" s="21" t="s">
        <v>96</v>
      </c>
      <c r="F37" s="21" t="s">
        <v>106</v>
      </c>
      <c r="G37" s="23" t="s">
        <v>706</v>
      </c>
      <c r="H37" s="22">
        <v>46161</v>
      </c>
      <c r="I37" s="349">
        <v>42150</v>
      </c>
      <c r="J37" s="214" t="s">
        <v>98</v>
      </c>
      <c r="K37" s="322"/>
      <c r="L37" s="26"/>
      <c r="M37" s="27"/>
      <c r="N37" s="26"/>
      <c r="O37" s="26"/>
      <c r="P37" s="6"/>
      <c r="Q37" s="29"/>
      <c r="R37" s="31"/>
      <c r="S37" s="26"/>
    </row>
    <row r="38" spans="2:19">
      <c r="B38" s="223" t="s">
        <v>694</v>
      </c>
      <c r="C38" s="21" t="s">
        <v>661</v>
      </c>
      <c r="D38" s="22">
        <v>45980</v>
      </c>
      <c r="E38" s="21" t="s">
        <v>96</v>
      </c>
      <c r="F38" s="21" t="s">
        <v>106</v>
      </c>
      <c r="G38" s="23" t="s">
        <v>707</v>
      </c>
      <c r="H38" s="22">
        <v>46162</v>
      </c>
      <c r="I38" s="349">
        <v>42200</v>
      </c>
      <c r="J38" s="214" t="s">
        <v>98</v>
      </c>
      <c r="K38" s="322"/>
      <c r="L38" s="26"/>
      <c r="M38" s="27"/>
      <c r="N38" s="26"/>
      <c r="O38" s="26"/>
      <c r="P38" s="6"/>
      <c r="Q38" s="29"/>
      <c r="R38" s="31"/>
      <c r="S38" s="26"/>
    </row>
    <row r="39" spans="2:19">
      <c r="B39" s="223" t="s">
        <v>694</v>
      </c>
      <c r="C39" s="21" t="s">
        <v>661</v>
      </c>
      <c r="D39" s="22">
        <v>45996</v>
      </c>
      <c r="E39" s="21" t="s">
        <v>96</v>
      </c>
      <c r="F39" s="21" t="s">
        <v>106</v>
      </c>
      <c r="G39" s="23" t="s">
        <v>708</v>
      </c>
      <c r="H39" s="22">
        <v>46185</v>
      </c>
      <c r="I39" s="349">
        <v>37100</v>
      </c>
      <c r="J39" s="214" t="s">
        <v>98</v>
      </c>
      <c r="K39" s="322"/>
      <c r="L39" s="26"/>
      <c r="M39" s="27"/>
      <c r="N39" s="26"/>
      <c r="O39" s="26"/>
      <c r="P39" s="6"/>
      <c r="Q39" s="29"/>
      <c r="R39" s="31"/>
      <c r="S39" s="26"/>
    </row>
    <row r="40" spans="2:19">
      <c r="B40" s="223" t="s">
        <v>694</v>
      </c>
      <c r="C40" s="21" t="s">
        <v>661</v>
      </c>
      <c r="D40" s="22">
        <v>45996</v>
      </c>
      <c r="E40" s="21" t="s">
        <v>96</v>
      </c>
      <c r="F40" s="21" t="s">
        <v>106</v>
      </c>
      <c r="G40" s="23" t="s">
        <v>709</v>
      </c>
      <c r="H40" s="22">
        <v>46188</v>
      </c>
      <c r="I40" s="349">
        <v>37200</v>
      </c>
      <c r="J40" s="214" t="s">
        <v>98</v>
      </c>
      <c r="K40" s="322"/>
      <c r="L40" s="26"/>
      <c r="M40" s="27"/>
      <c r="N40" s="26"/>
      <c r="O40" s="26"/>
      <c r="P40" s="6"/>
      <c r="Q40" s="29"/>
      <c r="R40" s="31"/>
      <c r="S40" s="26"/>
    </row>
    <row r="41" spans="2:19">
      <c r="B41" s="223" t="s">
        <v>694</v>
      </c>
      <c r="C41" s="21" t="s">
        <v>661</v>
      </c>
      <c r="D41" s="22">
        <v>45996</v>
      </c>
      <c r="E41" s="21" t="s">
        <v>96</v>
      </c>
      <c r="F41" s="21" t="s">
        <v>106</v>
      </c>
      <c r="G41" s="23" t="s">
        <v>710</v>
      </c>
      <c r="H41" s="22">
        <v>46192</v>
      </c>
      <c r="I41" s="349">
        <v>37400</v>
      </c>
      <c r="J41" s="214" t="s">
        <v>98</v>
      </c>
      <c r="K41" s="322"/>
      <c r="L41" s="26"/>
      <c r="M41" s="27"/>
      <c r="N41" s="26"/>
      <c r="O41" s="26"/>
      <c r="P41" s="6"/>
      <c r="Q41" s="29"/>
      <c r="R41" s="31"/>
      <c r="S41" s="26"/>
    </row>
    <row r="42" spans="2:19">
      <c r="B42" s="223" t="s">
        <v>694</v>
      </c>
      <c r="C42" s="21" t="s">
        <v>661</v>
      </c>
      <c r="D42" s="22">
        <v>46062</v>
      </c>
      <c r="E42" s="21" t="s">
        <v>96</v>
      </c>
      <c r="F42" s="21" t="s">
        <v>106</v>
      </c>
      <c r="G42" s="23" t="s">
        <v>711</v>
      </c>
      <c r="H42" s="22">
        <v>46197</v>
      </c>
      <c r="I42" s="349">
        <v>39700</v>
      </c>
      <c r="J42" s="214" t="s">
        <v>98</v>
      </c>
      <c r="K42" s="322"/>
      <c r="L42" s="26"/>
      <c r="M42" s="27"/>
      <c r="N42" s="26"/>
      <c r="O42" s="26"/>
      <c r="P42" s="6"/>
      <c r="Q42" s="29"/>
      <c r="R42" s="31"/>
      <c r="S42" s="26"/>
    </row>
    <row r="43" spans="2:19">
      <c r="B43" s="223" t="s">
        <v>694</v>
      </c>
      <c r="C43" s="21" t="s">
        <v>661</v>
      </c>
      <c r="D43" s="22">
        <v>45996</v>
      </c>
      <c r="E43" s="21" t="s">
        <v>96</v>
      </c>
      <c r="F43" s="21" t="s">
        <v>106</v>
      </c>
      <c r="G43" s="23" t="s">
        <v>712</v>
      </c>
      <c r="H43" s="22">
        <v>46195</v>
      </c>
      <c r="I43" s="349">
        <v>37704.78</v>
      </c>
      <c r="J43" s="214" t="s">
        <v>98</v>
      </c>
      <c r="K43" s="322"/>
      <c r="L43" s="26"/>
      <c r="M43" s="27"/>
      <c r="N43" s="26"/>
      <c r="O43" s="26"/>
      <c r="P43" s="6"/>
      <c r="Q43" s="29"/>
      <c r="R43" s="31"/>
      <c r="S43" s="26"/>
    </row>
    <row r="44" spans="2:19">
      <c r="B44" s="223" t="s">
        <v>694</v>
      </c>
      <c r="C44" s="21" t="s">
        <v>661</v>
      </c>
      <c r="D44" s="22">
        <v>46062</v>
      </c>
      <c r="E44" s="21" t="s">
        <v>96</v>
      </c>
      <c r="F44" s="21" t="s">
        <v>106</v>
      </c>
      <c r="G44" s="23" t="s">
        <v>713</v>
      </c>
      <c r="H44" s="22">
        <v>46199</v>
      </c>
      <c r="I44" s="349">
        <v>39900</v>
      </c>
      <c r="J44" s="214" t="s">
        <v>98</v>
      </c>
      <c r="K44" s="322"/>
      <c r="L44" s="26"/>
      <c r="M44" s="27"/>
      <c r="N44" s="26"/>
      <c r="O44" s="26"/>
      <c r="P44" s="6"/>
      <c r="Q44" s="29"/>
      <c r="R44" s="31"/>
      <c r="S44" s="26"/>
    </row>
    <row r="45" spans="2:19">
      <c r="B45" s="223" t="s">
        <v>694</v>
      </c>
      <c r="C45" s="21" t="s">
        <v>661</v>
      </c>
      <c r="D45" s="22">
        <v>46062</v>
      </c>
      <c r="E45" s="21" t="s">
        <v>96</v>
      </c>
      <c r="F45" s="21" t="s">
        <v>106</v>
      </c>
      <c r="G45" s="23" t="s">
        <v>714</v>
      </c>
      <c r="H45" s="22">
        <v>46203</v>
      </c>
      <c r="I45" s="349">
        <v>39975.39</v>
      </c>
      <c r="J45" s="214" t="s">
        <v>98</v>
      </c>
      <c r="K45" s="322"/>
      <c r="L45" s="26"/>
      <c r="M45" s="27"/>
      <c r="N45" s="26"/>
      <c r="O45" s="26"/>
      <c r="P45" s="6"/>
      <c r="Q45" s="29"/>
      <c r="R45" s="31"/>
      <c r="S45" s="26"/>
    </row>
    <row r="46" spans="2:19">
      <c r="B46" s="223" t="s">
        <v>694</v>
      </c>
      <c r="C46" s="21" t="s">
        <v>661</v>
      </c>
      <c r="D46" s="22">
        <v>46062</v>
      </c>
      <c r="E46" s="21" t="s">
        <v>96</v>
      </c>
      <c r="F46" s="21" t="s">
        <v>106</v>
      </c>
      <c r="G46" s="23" t="s">
        <v>715</v>
      </c>
      <c r="H46" s="22">
        <v>46205</v>
      </c>
      <c r="I46" s="349">
        <v>40100</v>
      </c>
      <c r="J46" s="214" t="s">
        <v>98</v>
      </c>
      <c r="K46" s="322"/>
      <c r="L46" s="26"/>
      <c r="M46" s="27"/>
      <c r="N46" s="26"/>
      <c r="O46" s="26"/>
      <c r="P46" s="6"/>
      <c r="Q46" s="29"/>
      <c r="R46" s="31"/>
      <c r="S46" s="26"/>
    </row>
    <row r="47" spans="2:19">
      <c r="B47" s="64" t="s">
        <v>694</v>
      </c>
      <c r="C47" s="229" t="s">
        <v>661</v>
      </c>
      <c r="D47" s="295">
        <v>46062</v>
      </c>
      <c r="E47" s="229" t="s">
        <v>96</v>
      </c>
      <c r="F47" s="229" t="s">
        <v>106</v>
      </c>
      <c r="G47" s="89" t="s">
        <v>716</v>
      </c>
      <c r="H47" s="295">
        <v>46206</v>
      </c>
      <c r="I47" s="68">
        <v>40200</v>
      </c>
      <c r="J47" s="217" t="s">
        <v>98</v>
      </c>
      <c r="K47" s="322"/>
      <c r="L47" s="26"/>
      <c r="M47" s="27"/>
      <c r="N47" s="26"/>
      <c r="O47" s="26"/>
      <c r="P47" s="6"/>
      <c r="Q47" s="29"/>
      <c r="R47" s="31"/>
      <c r="S47" s="26"/>
    </row>
    <row r="48" spans="2:19">
      <c r="B48" s="19" t="s">
        <v>717</v>
      </c>
      <c r="C48" s="21"/>
      <c r="D48" s="22"/>
      <c r="E48" s="21"/>
      <c r="F48" s="21"/>
      <c r="G48" s="23"/>
      <c r="H48" s="22"/>
      <c r="I48" s="24">
        <f>SUM(I18:I47)</f>
        <v>1429703.83</v>
      </c>
      <c r="J48" s="25"/>
      <c r="K48" s="322"/>
      <c r="L48" s="26"/>
      <c r="M48" s="27"/>
      <c r="N48" s="26"/>
      <c r="O48" s="26"/>
      <c r="P48" s="6"/>
      <c r="Q48" s="29"/>
      <c r="R48" s="31"/>
      <c r="S48" s="26"/>
    </row>
    <row r="49" spans="2:19">
      <c r="B49" s="207" t="s">
        <v>718</v>
      </c>
      <c r="C49" s="149" t="s">
        <v>661</v>
      </c>
      <c r="D49" s="150">
        <v>45650</v>
      </c>
      <c r="E49" s="149" t="s">
        <v>114</v>
      </c>
      <c r="F49" s="149" t="s">
        <v>103</v>
      </c>
      <c r="G49" s="16" t="s">
        <v>719</v>
      </c>
      <c r="H49" s="150">
        <v>45670</v>
      </c>
      <c r="I49" s="350">
        <v>92640</v>
      </c>
      <c r="J49" s="152" t="s">
        <v>720</v>
      </c>
      <c r="K49" s="322"/>
      <c r="L49" s="26"/>
      <c r="M49" s="27"/>
      <c r="N49" s="26"/>
      <c r="O49" s="26"/>
      <c r="P49" s="6"/>
      <c r="Q49" s="29"/>
      <c r="R49" s="31"/>
      <c r="S49" s="26"/>
    </row>
    <row r="50" spans="2:19">
      <c r="B50" s="219" t="s">
        <v>721</v>
      </c>
      <c r="C50" s="228" t="s">
        <v>661</v>
      </c>
      <c r="D50" s="293">
        <v>45672</v>
      </c>
      <c r="E50" s="228" t="s">
        <v>114</v>
      </c>
      <c r="F50" s="228" t="s">
        <v>192</v>
      </c>
      <c r="G50" s="80" t="s">
        <v>722</v>
      </c>
      <c r="H50" s="293">
        <v>45828</v>
      </c>
      <c r="I50" s="351">
        <v>35975.77</v>
      </c>
      <c r="J50" s="212" t="s">
        <v>723</v>
      </c>
      <c r="K50" s="322"/>
      <c r="L50" s="26"/>
      <c r="M50" s="27"/>
      <c r="N50" s="26"/>
      <c r="O50" s="26"/>
      <c r="P50" s="6"/>
      <c r="Q50" s="29"/>
      <c r="R50" s="31"/>
      <c r="S50" s="26"/>
    </row>
    <row r="51" spans="2:19">
      <c r="B51" s="58" t="s">
        <v>724</v>
      </c>
      <c r="C51" s="228" t="s">
        <v>661</v>
      </c>
      <c r="D51" s="293">
        <v>45908</v>
      </c>
      <c r="E51" s="228" t="s">
        <v>114</v>
      </c>
      <c r="F51" s="228" t="s">
        <v>192</v>
      </c>
      <c r="G51" s="80" t="s">
        <v>332</v>
      </c>
      <c r="H51" s="293">
        <v>46039</v>
      </c>
      <c r="I51" s="62">
        <v>54000</v>
      </c>
      <c r="J51" s="212" t="s">
        <v>98</v>
      </c>
      <c r="K51" s="322"/>
      <c r="L51" s="26"/>
      <c r="M51" s="27"/>
      <c r="N51" s="26"/>
      <c r="O51" s="26"/>
      <c r="P51" s="6"/>
      <c r="Q51" s="29"/>
      <c r="R51" s="31"/>
      <c r="S51" s="26"/>
    </row>
    <row r="52" spans="2:19">
      <c r="B52" s="223" t="s">
        <v>724</v>
      </c>
      <c r="C52" s="21" t="s">
        <v>661</v>
      </c>
      <c r="D52" s="22">
        <v>45742</v>
      </c>
      <c r="E52" s="21" t="s">
        <v>114</v>
      </c>
      <c r="F52" s="21" t="s">
        <v>192</v>
      </c>
      <c r="G52" s="23" t="s">
        <v>725</v>
      </c>
      <c r="H52" s="22">
        <v>45945</v>
      </c>
      <c r="I52" s="349">
        <v>46842</v>
      </c>
      <c r="J52" s="214" t="s">
        <v>726</v>
      </c>
      <c r="K52" s="322"/>
      <c r="L52" s="26"/>
      <c r="M52" s="27"/>
      <c r="N52" s="26"/>
      <c r="O52" s="26"/>
      <c r="P52" s="6"/>
      <c r="Q52" s="29"/>
      <c r="R52" s="31"/>
      <c r="S52" s="26"/>
    </row>
    <row r="53" spans="2:19">
      <c r="B53" s="223" t="s">
        <v>724</v>
      </c>
      <c r="C53" s="21" t="s">
        <v>661</v>
      </c>
      <c r="D53" s="22">
        <v>45946</v>
      </c>
      <c r="E53" s="21" t="s">
        <v>114</v>
      </c>
      <c r="F53" s="21" t="s">
        <v>192</v>
      </c>
      <c r="G53" s="23" t="s">
        <v>727</v>
      </c>
      <c r="H53" s="22">
        <v>46069</v>
      </c>
      <c r="I53" s="349">
        <v>158000</v>
      </c>
      <c r="J53" s="214" t="s">
        <v>98</v>
      </c>
      <c r="K53" s="322"/>
      <c r="L53" s="26"/>
      <c r="M53" s="27"/>
      <c r="N53" s="26"/>
      <c r="O53" s="26"/>
      <c r="P53" s="6"/>
      <c r="Q53" s="29"/>
      <c r="R53" s="31"/>
      <c r="S53" s="26"/>
    </row>
    <row r="54" spans="2:19">
      <c r="B54" s="223" t="s">
        <v>724</v>
      </c>
      <c r="C54" s="21" t="s">
        <v>661</v>
      </c>
      <c r="D54" s="22">
        <v>45946</v>
      </c>
      <c r="E54" s="21" t="s">
        <v>114</v>
      </c>
      <c r="F54" s="21" t="s">
        <v>192</v>
      </c>
      <c r="G54" s="23" t="s">
        <v>728</v>
      </c>
      <c r="H54" s="22">
        <v>46084</v>
      </c>
      <c r="I54" s="349">
        <v>158137</v>
      </c>
      <c r="J54" s="214" t="s">
        <v>98</v>
      </c>
      <c r="K54" s="322"/>
      <c r="L54" s="26"/>
      <c r="M54" s="27"/>
      <c r="N54" s="26"/>
      <c r="O54" s="26"/>
      <c r="P54" s="6"/>
      <c r="Q54" s="29"/>
      <c r="R54" s="31"/>
      <c r="S54" s="26"/>
    </row>
    <row r="55" spans="2:19">
      <c r="B55" s="223" t="s">
        <v>724</v>
      </c>
      <c r="C55" s="21" t="s">
        <v>661</v>
      </c>
      <c r="D55" s="22">
        <v>46015</v>
      </c>
      <c r="E55" s="21" t="s">
        <v>114</v>
      </c>
      <c r="F55" s="21" t="s">
        <v>192</v>
      </c>
      <c r="G55" s="23" t="s">
        <v>729</v>
      </c>
      <c r="H55" s="22">
        <v>46139</v>
      </c>
      <c r="I55" s="349">
        <v>76000</v>
      </c>
      <c r="J55" s="214" t="s">
        <v>98</v>
      </c>
      <c r="K55" s="322"/>
      <c r="L55" s="26"/>
      <c r="M55" s="27"/>
      <c r="N55" s="26"/>
      <c r="O55" s="26"/>
      <c r="P55" s="6"/>
      <c r="Q55" s="29"/>
      <c r="R55" s="31"/>
      <c r="S55" s="26"/>
    </row>
    <row r="56" spans="2:19">
      <c r="B56" s="64" t="s">
        <v>724</v>
      </c>
      <c r="C56" s="229" t="s">
        <v>661</v>
      </c>
      <c r="D56" s="295">
        <v>45708</v>
      </c>
      <c r="E56" s="229" t="s">
        <v>114</v>
      </c>
      <c r="F56" s="229" t="s">
        <v>192</v>
      </c>
      <c r="G56" s="89" t="s">
        <v>689</v>
      </c>
      <c r="H56" s="295">
        <v>46159</v>
      </c>
      <c r="I56" s="68">
        <v>78000</v>
      </c>
      <c r="J56" s="217" t="s">
        <v>98</v>
      </c>
      <c r="K56" s="322"/>
      <c r="L56" s="26"/>
      <c r="M56" s="27"/>
      <c r="N56" s="26"/>
      <c r="O56" s="26"/>
      <c r="P56" s="6"/>
      <c r="Q56" s="29"/>
      <c r="R56" s="31"/>
      <c r="S56" s="26"/>
    </row>
    <row r="57" spans="2:19">
      <c r="B57" s="19" t="s">
        <v>730</v>
      </c>
      <c r="C57" s="21"/>
      <c r="D57" s="22"/>
      <c r="E57" s="21"/>
      <c r="F57" s="21"/>
      <c r="G57" s="23"/>
      <c r="H57" s="22"/>
      <c r="I57" s="24">
        <f>SUM(I51:I56)</f>
        <v>570979</v>
      </c>
      <c r="J57" s="25"/>
      <c r="K57" s="322"/>
      <c r="L57" s="26"/>
      <c r="M57" s="27"/>
      <c r="N57" s="26"/>
      <c r="O57" s="26"/>
      <c r="P57" s="6"/>
      <c r="Q57" s="29"/>
      <c r="R57" s="31"/>
      <c r="S57" s="26"/>
    </row>
    <row r="58" spans="2:19">
      <c r="B58" s="58" t="s">
        <v>731</v>
      </c>
      <c r="C58" s="59" t="s">
        <v>661</v>
      </c>
      <c r="D58" s="60">
        <v>46262</v>
      </c>
      <c r="E58" s="59" t="s">
        <v>114</v>
      </c>
      <c r="F58" s="59" t="s">
        <v>106</v>
      </c>
      <c r="G58" s="61" t="s">
        <v>732</v>
      </c>
      <c r="H58" s="60">
        <v>46065</v>
      </c>
      <c r="I58" s="62">
        <v>41400</v>
      </c>
      <c r="J58" s="63" t="s">
        <v>98</v>
      </c>
      <c r="K58" s="322"/>
      <c r="L58" s="26"/>
      <c r="M58" s="27"/>
      <c r="N58" s="26"/>
      <c r="O58" s="26"/>
      <c r="P58" s="6"/>
      <c r="Q58" s="29"/>
      <c r="R58" s="31"/>
      <c r="S58" s="26"/>
    </row>
    <row r="59" spans="2:19">
      <c r="B59" s="223" t="s">
        <v>731</v>
      </c>
      <c r="C59" s="352" t="s">
        <v>661</v>
      </c>
      <c r="D59" s="353">
        <v>45881</v>
      </c>
      <c r="E59" s="352" t="s">
        <v>114</v>
      </c>
      <c r="F59" s="352" t="s">
        <v>106</v>
      </c>
      <c r="G59" s="109" t="s">
        <v>733</v>
      </c>
      <c r="H59" s="353">
        <v>46059</v>
      </c>
      <c r="I59" s="349">
        <v>4097.5</v>
      </c>
      <c r="J59" s="354" t="s">
        <v>734</v>
      </c>
      <c r="K59" s="322"/>
      <c r="L59" s="26"/>
      <c r="M59" s="27"/>
      <c r="N59" s="26"/>
      <c r="O59" s="26"/>
      <c r="P59" s="6"/>
      <c r="Q59" s="29"/>
      <c r="R59" s="31"/>
      <c r="S59" s="26"/>
    </row>
    <row r="60" spans="2:19">
      <c r="B60" s="223" t="s">
        <v>731</v>
      </c>
      <c r="C60" s="352" t="s">
        <v>661</v>
      </c>
      <c r="D60" s="353">
        <v>45881</v>
      </c>
      <c r="E60" s="352" t="s">
        <v>114</v>
      </c>
      <c r="F60" s="352" t="s">
        <v>106</v>
      </c>
      <c r="G60" s="109" t="s">
        <v>735</v>
      </c>
      <c r="H60" s="353">
        <v>46062</v>
      </c>
      <c r="I60" s="349">
        <v>39440</v>
      </c>
      <c r="J60" s="354" t="s">
        <v>98</v>
      </c>
      <c r="K60" s="322"/>
      <c r="L60" s="26"/>
      <c r="M60" s="27"/>
      <c r="N60" s="26"/>
      <c r="O60" s="26"/>
      <c r="P60" s="6"/>
      <c r="Q60" s="29"/>
      <c r="R60" s="31"/>
      <c r="S60" s="26"/>
    </row>
    <row r="61" spans="2:19">
      <c r="B61" s="223" t="s">
        <v>731</v>
      </c>
      <c r="C61" s="352" t="s">
        <v>661</v>
      </c>
      <c r="D61" s="353">
        <v>45881</v>
      </c>
      <c r="E61" s="352" t="s">
        <v>114</v>
      </c>
      <c r="F61" s="352" t="s">
        <v>106</v>
      </c>
      <c r="G61" s="109" t="s">
        <v>736</v>
      </c>
      <c r="H61" s="353">
        <v>46063</v>
      </c>
      <c r="I61" s="349">
        <v>39450</v>
      </c>
      <c r="J61" s="354" t="s">
        <v>98</v>
      </c>
      <c r="K61" s="322"/>
      <c r="L61" s="26"/>
      <c r="M61" s="27"/>
      <c r="N61" s="26"/>
      <c r="O61" s="26"/>
      <c r="P61" s="6"/>
      <c r="Q61" s="29"/>
      <c r="R61" s="31"/>
      <c r="S61" s="26"/>
    </row>
    <row r="62" spans="2:19">
      <c r="B62" s="223" t="s">
        <v>731</v>
      </c>
      <c r="C62" s="352" t="s">
        <v>661</v>
      </c>
      <c r="D62" s="353">
        <v>45881</v>
      </c>
      <c r="E62" s="352" t="s">
        <v>114</v>
      </c>
      <c r="F62" s="352" t="s">
        <v>106</v>
      </c>
      <c r="G62" s="109" t="s">
        <v>737</v>
      </c>
      <c r="H62" s="353">
        <v>46064</v>
      </c>
      <c r="I62" s="349">
        <v>39484.52</v>
      </c>
      <c r="J62" s="354" t="s">
        <v>98</v>
      </c>
      <c r="K62" s="322"/>
      <c r="L62" s="26"/>
      <c r="M62" s="27"/>
      <c r="N62" s="26"/>
      <c r="O62" s="26"/>
      <c r="P62" s="6"/>
      <c r="Q62" s="29"/>
      <c r="R62" s="31"/>
      <c r="S62" s="26"/>
    </row>
    <row r="63" spans="2:19">
      <c r="B63" s="223" t="s">
        <v>731</v>
      </c>
      <c r="C63" s="352" t="s">
        <v>661</v>
      </c>
      <c r="D63" s="353">
        <v>45898</v>
      </c>
      <c r="E63" s="352" t="s">
        <v>114</v>
      </c>
      <c r="F63" s="352" t="s">
        <v>106</v>
      </c>
      <c r="G63" s="109" t="s">
        <v>738</v>
      </c>
      <c r="H63" s="353">
        <v>46069</v>
      </c>
      <c r="I63" s="349">
        <v>41600</v>
      </c>
      <c r="J63" s="354" t="s">
        <v>98</v>
      </c>
      <c r="K63" s="322"/>
      <c r="L63" s="26"/>
      <c r="M63" s="27"/>
      <c r="N63" s="26"/>
      <c r="O63" s="26"/>
      <c r="P63" s="6"/>
      <c r="Q63" s="29"/>
      <c r="R63" s="31"/>
      <c r="S63" s="26"/>
    </row>
    <row r="64" spans="2:19">
      <c r="B64" s="223" t="s">
        <v>731</v>
      </c>
      <c r="C64" s="352" t="s">
        <v>661</v>
      </c>
      <c r="D64" s="353">
        <v>45881</v>
      </c>
      <c r="E64" s="352" t="s">
        <v>114</v>
      </c>
      <c r="F64" s="352" t="s">
        <v>106</v>
      </c>
      <c r="G64" s="109" t="s">
        <v>739</v>
      </c>
      <c r="H64" s="353">
        <v>46073</v>
      </c>
      <c r="I64" s="349">
        <v>43400</v>
      </c>
      <c r="J64" s="354" t="s">
        <v>98</v>
      </c>
      <c r="K64" s="322"/>
      <c r="L64" s="26"/>
      <c r="M64" s="27"/>
      <c r="N64" s="26"/>
      <c r="O64" s="26"/>
      <c r="P64" s="6"/>
      <c r="Q64" s="29"/>
      <c r="R64" s="31"/>
      <c r="S64" s="26"/>
    </row>
    <row r="65" spans="2:19">
      <c r="B65" s="223" t="s">
        <v>731</v>
      </c>
      <c r="C65" s="352" t="s">
        <v>661</v>
      </c>
      <c r="D65" s="353">
        <v>45881</v>
      </c>
      <c r="E65" s="352" t="s">
        <v>114</v>
      </c>
      <c r="F65" s="352" t="s">
        <v>106</v>
      </c>
      <c r="G65" s="109" t="s">
        <v>186</v>
      </c>
      <c r="H65" s="353">
        <v>46078</v>
      </c>
      <c r="I65" s="349">
        <v>43300</v>
      </c>
      <c r="J65" s="354" t="s">
        <v>98</v>
      </c>
      <c r="K65" s="322"/>
      <c r="L65" s="26"/>
      <c r="M65" s="27"/>
      <c r="N65" s="26"/>
      <c r="O65" s="26"/>
      <c r="P65" s="6"/>
      <c r="Q65" s="29"/>
      <c r="R65" s="31"/>
      <c r="S65" s="26"/>
    </row>
    <row r="66" spans="2:19">
      <c r="B66" s="223" t="s">
        <v>731</v>
      </c>
      <c r="C66" s="352" t="s">
        <v>661</v>
      </c>
      <c r="D66" s="353">
        <v>45882</v>
      </c>
      <c r="E66" s="352" t="s">
        <v>114</v>
      </c>
      <c r="F66" s="352" t="s">
        <v>106</v>
      </c>
      <c r="G66" s="109" t="s">
        <v>740</v>
      </c>
      <c r="H66" s="353">
        <v>46080</v>
      </c>
      <c r="I66" s="349">
        <v>43189.48</v>
      </c>
      <c r="J66" s="354" t="s">
        <v>98</v>
      </c>
      <c r="K66" s="322"/>
      <c r="L66" s="26"/>
      <c r="M66" s="27"/>
      <c r="N66" s="26"/>
      <c r="O66" s="26"/>
      <c r="P66" s="6"/>
      <c r="Q66" s="29"/>
      <c r="R66" s="31"/>
      <c r="S66" s="26"/>
    </row>
    <row r="67" spans="2:19">
      <c r="B67" s="223" t="s">
        <v>731</v>
      </c>
      <c r="C67" s="352" t="s">
        <v>661</v>
      </c>
      <c r="D67" s="353">
        <v>45883</v>
      </c>
      <c r="E67" s="352" t="s">
        <v>114</v>
      </c>
      <c r="F67" s="352" t="s">
        <v>106</v>
      </c>
      <c r="G67" s="109" t="s">
        <v>667</v>
      </c>
      <c r="H67" s="353">
        <v>46083</v>
      </c>
      <c r="I67" s="349">
        <v>57700</v>
      </c>
      <c r="J67" s="354" t="s">
        <v>98</v>
      </c>
      <c r="K67" s="322"/>
      <c r="L67" s="26"/>
      <c r="M67" s="27"/>
      <c r="N67" s="26"/>
      <c r="O67" s="26"/>
      <c r="P67" s="6"/>
      <c r="Q67" s="29"/>
      <c r="R67" s="31"/>
      <c r="S67" s="26"/>
    </row>
    <row r="68" spans="2:19">
      <c r="B68" s="223" t="s">
        <v>731</v>
      </c>
      <c r="C68" s="352" t="s">
        <v>661</v>
      </c>
      <c r="D68" s="353">
        <v>45881</v>
      </c>
      <c r="E68" s="352" t="s">
        <v>114</v>
      </c>
      <c r="F68" s="352" t="s">
        <v>106</v>
      </c>
      <c r="G68" s="109" t="s">
        <v>741</v>
      </c>
      <c r="H68" s="353">
        <v>46079</v>
      </c>
      <c r="I68" s="349">
        <v>43500</v>
      </c>
      <c r="J68" s="354" t="s">
        <v>98</v>
      </c>
      <c r="K68" s="322"/>
      <c r="L68" s="26"/>
      <c r="M68" s="27"/>
      <c r="N68" s="26"/>
      <c r="O68" s="26"/>
      <c r="P68" s="6"/>
      <c r="Q68" s="29"/>
      <c r="R68" s="31"/>
      <c r="S68" s="26"/>
    </row>
    <row r="69" spans="2:19">
      <c r="B69" s="223" t="s">
        <v>731</v>
      </c>
      <c r="C69" s="352" t="s">
        <v>661</v>
      </c>
      <c r="D69" s="353">
        <v>45908</v>
      </c>
      <c r="E69" s="352" t="s">
        <v>114</v>
      </c>
      <c r="F69" s="352" t="s">
        <v>106</v>
      </c>
      <c r="G69" s="109" t="s">
        <v>668</v>
      </c>
      <c r="H69" s="353">
        <v>46085</v>
      </c>
      <c r="I69" s="349">
        <v>57724</v>
      </c>
      <c r="J69" s="354" t="s">
        <v>98</v>
      </c>
      <c r="K69" s="322"/>
      <c r="L69" s="26"/>
      <c r="M69" s="27"/>
      <c r="N69" s="26"/>
      <c r="O69" s="26"/>
      <c r="P69" s="6"/>
      <c r="Q69" s="29"/>
      <c r="R69" s="31"/>
      <c r="S69" s="26"/>
    </row>
    <row r="70" spans="2:19">
      <c r="B70" s="223" t="s">
        <v>731</v>
      </c>
      <c r="C70" s="352" t="s">
        <v>661</v>
      </c>
      <c r="D70" s="353">
        <v>45951</v>
      </c>
      <c r="E70" s="352" t="s">
        <v>114</v>
      </c>
      <c r="F70" s="352" t="s">
        <v>106</v>
      </c>
      <c r="G70" s="109" t="s">
        <v>742</v>
      </c>
      <c r="H70" s="353">
        <v>46099</v>
      </c>
      <c r="I70" s="349">
        <v>57400</v>
      </c>
      <c r="J70" s="354" t="s">
        <v>98</v>
      </c>
      <c r="K70" s="322"/>
      <c r="L70" s="26"/>
      <c r="M70" s="27"/>
      <c r="N70" s="26"/>
      <c r="O70" s="26"/>
      <c r="P70" s="6"/>
      <c r="Q70" s="29"/>
      <c r="R70" s="31"/>
      <c r="S70" s="26"/>
    </row>
    <row r="71" spans="2:19">
      <c r="B71" s="64" t="s">
        <v>743</v>
      </c>
      <c r="C71" s="65" t="s">
        <v>661</v>
      </c>
      <c r="D71" s="66">
        <v>45881</v>
      </c>
      <c r="E71" s="65" t="s">
        <v>96</v>
      </c>
      <c r="F71" s="65" t="s">
        <v>115</v>
      </c>
      <c r="G71" s="67" t="s">
        <v>744</v>
      </c>
      <c r="H71" s="66">
        <v>46157</v>
      </c>
      <c r="I71" s="68">
        <v>75287.5</v>
      </c>
      <c r="J71" s="69" t="s">
        <v>745</v>
      </c>
      <c r="K71" s="322"/>
      <c r="L71" s="26"/>
      <c r="M71" s="27"/>
      <c r="N71" s="26"/>
      <c r="O71" s="26"/>
      <c r="P71" s="6"/>
      <c r="Q71" s="29"/>
      <c r="R71" s="31"/>
      <c r="S71" s="26"/>
    </row>
    <row r="72" spans="2:19">
      <c r="B72" s="19" t="s">
        <v>746</v>
      </c>
      <c r="C72" s="21"/>
      <c r="D72" s="22"/>
      <c r="E72" s="21"/>
      <c r="F72" s="21"/>
      <c r="G72" s="23"/>
      <c r="H72" s="22"/>
      <c r="I72" s="24">
        <f>SUM(I58:I71)</f>
        <v>626973</v>
      </c>
      <c r="J72" s="25"/>
      <c r="K72" s="322"/>
      <c r="L72" s="26"/>
      <c r="M72" s="27"/>
      <c r="N72" s="26"/>
      <c r="O72" s="26"/>
      <c r="P72" s="6"/>
      <c r="Q72" s="29"/>
      <c r="R72" s="31"/>
      <c r="S72" s="26"/>
    </row>
    <row r="73" spans="2:19">
      <c r="B73" s="58" t="s">
        <v>747</v>
      </c>
      <c r="C73" s="228" t="s">
        <v>661</v>
      </c>
      <c r="D73" s="293">
        <v>46010</v>
      </c>
      <c r="E73" s="228" t="s">
        <v>96</v>
      </c>
      <c r="F73" s="228" t="s">
        <v>106</v>
      </c>
      <c r="G73" s="80" t="s">
        <v>748</v>
      </c>
      <c r="H73" s="293">
        <v>46142</v>
      </c>
      <c r="I73" s="62">
        <v>99792</v>
      </c>
      <c r="J73" s="212" t="s">
        <v>98</v>
      </c>
      <c r="K73" s="322"/>
      <c r="L73" s="26"/>
      <c r="M73" s="27"/>
      <c r="N73" s="26"/>
      <c r="O73" s="26"/>
      <c r="P73" s="6"/>
      <c r="Q73" s="29"/>
      <c r="R73" s="31"/>
      <c r="S73" s="26"/>
    </row>
    <row r="74" spans="2:19">
      <c r="B74" s="223" t="s">
        <v>747</v>
      </c>
      <c r="C74" s="21" t="s">
        <v>661</v>
      </c>
      <c r="D74" s="22">
        <v>7569</v>
      </c>
      <c r="E74" s="21" t="s">
        <v>96</v>
      </c>
      <c r="F74" s="21" t="s">
        <v>106</v>
      </c>
      <c r="G74" s="23" t="s">
        <v>749</v>
      </c>
      <c r="H74" s="22">
        <v>46172</v>
      </c>
      <c r="I74" s="349">
        <v>188616</v>
      </c>
      <c r="J74" s="214" t="s">
        <v>98</v>
      </c>
      <c r="K74" s="322"/>
      <c r="L74" s="26"/>
      <c r="M74" s="27"/>
      <c r="N74" s="26"/>
      <c r="O74" s="26"/>
      <c r="P74" s="6"/>
      <c r="Q74" s="29"/>
      <c r="R74" s="31"/>
      <c r="S74" s="26"/>
    </row>
    <row r="75" spans="2:19">
      <c r="B75" s="64" t="s">
        <v>747</v>
      </c>
      <c r="C75" s="229" t="s">
        <v>661</v>
      </c>
      <c r="D75" s="295">
        <v>45954</v>
      </c>
      <c r="E75" s="229" t="s">
        <v>96</v>
      </c>
      <c r="F75" s="229" t="s">
        <v>106</v>
      </c>
      <c r="G75" s="89" t="s">
        <v>750</v>
      </c>
      <c r="H75" s="295">
        <v>46202</v>
      </c>
      <c r="I75" s="68">
        <v>23520</v>
      </c>
      <c r="J75" s="217" t="s">
        <v>98</v>
      </c>
      <c r="K75" s="322"/>
      <c r="L75" s="26"/>
      <c r="M75" s="27"/>
      <c r="N75" s="26"/>
      <c r="O75" s="26"/>
      <c r="P75" s="6"/>
      <c r="Q75" s="29"/>
      <c r="R75" s="31"/>
      <c r="S75" s="26"/>
    </row>
    <row r="76" spans="2:19">
      <c r="B76" s="19" t="s">
        <v>751</v>
      </c>
      <c r="C76" s="21"/>
      <c r="D76" s="22"/>
      <c r="E76" s="21"/>
      <c r="F76" s="21"/>
      <c r="G76" s="23"/>
      <c r="H76" s="22"/>
      <c r="I76" s="24">
        <f>SUM(I73:I75)</f>
        <v>311928</v>
      </c>
      <c r="J76" s="25"/>
      <c r="K76" s="322"/>
      <c r="L76" s="26"/>
      <c r="M76" s="27"/>
      <c r="N76" s="26"/>
      <c r="O76" s="26"/>
      <c r="P76" s="6"/>
      <c r="Q76" s="29"/>
      <c r="R76" s="31"/>
      <c r="S76" s="26"/>
    </row>
    <row r="77" spans="2:19">
      <c r="B77" s="58" t="s">
        <v>752</v>
      </c>
      <c r="C77" s="228" t="s">
        <v>661</v>
      </c>
      <c r="D77" s="293">
        <v>45965</v>
      </c>
      <c r="E77" s="228" t="s">
        <v>96</v>
      </c>
      <c r="F77" s="228" t="s">
        <v>119</v>
      </c>
      <c r="G77" s="80" t="s">
        <v>753</v>
      </c>
      <c r="H77" s="293">
        <v>46101</v>
      </c>
      <c r="I77" s="62">
        <v>50000</v>
      </c>
      <c r="J77" s="212" t="s">
        <v>98</v>
      </c>
      <c r="K77" s="322"/>
      <c r="L77" s="26"/>
      <c r="M77" s="27"/>
      <c r="N77" s="26"/>
      <c r="O77" s="26"/>
      <c r="P77" s="6"/>
      <c r="Q77" s="29"/>
      <c r="R77" s="31"/>
      <c r="S77" s="26"/>
    </row>
    <row r="78" spans="2:19">
      <c r="B78" s="223" t="s">
        <v>752</v>
      </c>
      <c r="C78" s="21" t="s">
        <v>661</v>
      </c>
      <c r="D78" s="22">
        <v>45995</v>
      </c>
      <c r="E78" s="21" t="s">
        <v>96</v>
      </c>
      <c r="F78" s="21" t="s">
        <v>119</v>
      </c>
      <c r="G78" s="23" t="s">
        <v>754</v>
      </c>
      <c r="H78" s="22">
        <v>46136</v>
      </c>
      <c r="I78" s="349">
        <v>45000</v>
      </c>
      <c r="J78" s="214" t="s">
        <v>98</v>
      </c>
      <c r="K78" s="322"/>
      <c r="L78" s="26"/>
      <c r="M78" s="27"/>
      <c r="N78" s="26"/>
      <c r="O78" s="26"/>
      <c r="P78" s="6"/>
      <c r="Q78" s="29"/>
      <c r="R78" s="31"/>
      <c r="S78" s="26"/>
    </row>
    <row r="79" spans="2:19">
      <c r="B79" s="223" t="s">
        <v>752</v>
      </c>
      <c r="C79" s="21" t="s">
        <v>661</v>
      </c>
      <c r="D79" s="22">
        <v>46016</v>
      </c>
      <c r="E79" s="21" t="s">
        <v>96</v>
      </c>
      <c r="F79" s="21" t="s">
        <v>119</v>
      </c>
      <c r="G79" s="23" t="s">
        <v>755</v>
      </c>
      <c r="H79" s="22">
        <v>46157</v>
      </c>
      <c r="I79" s="349">
        <v>50000</v>
      </c>
      <c r="J79" s="214" t="s">
        <v>98</v>
      </c>
      <c r="K79" s="322"/>
      <c r="L79" s="26"/>
      <c r="M79" s="27"/>
      <c r="N79" s="26"/>
      <c r="O79" s="26"/>
      <c r="P79" s="6"/>
      <c r="Q79" s="29"/>
      <c r="R79" s="31"/>
      <c r="S79" s="26"/>
    </row>
    <row r="80" spans="2:19">
      <c r="B80" s="223" t="s">
        <v>752</v>
      </c>
      <c r="C80" s="21" t="s">
        <v>661</v>
      </c>
      <c r="D80" s="22">
        <v>46045</v>
      </c>
      <c r="E80" s="21" t="s">
        <v>96</v>
      </c>
      <c r="F80" s="21" t="s">
        <v>119</v>
      </c>
      <c r="G80" s="23" t="s">
        <v>756</v>
      </c>
      <c r="H80" s="22">
        <v>46164</v>
      </c>
      <c r="I80" s="349">
        <v>50000</v>
      </c>
      <c r="J80" s="214" t="s">
        <v>98</v>
      </c>
      <c r="K80" s="322"/>
      <c r="L80" s="26"/>
      <c r="M80" s="27"/>
      <c r="N80" s="26"/>
      <c r="O80" s="26"/>
      <c r="P80" s="6"/>
      <c r="Q80" s="29"/>
      <c r="R80" s="31"/>
      <c r="S80" s="26"/>
    </row>
    <row r="81" spans="2:19">
      <c r="B81" s="223" t="s">
        <v>752</v>
      </c>
      <c r="C81" s="21" t="s">
        <v>661</v>
      </c>
      <c r="D81" s="22">
        <v>46045</v>
      </c>
      <c r="E81" s="21" t="s">
        <v>96</v>
      </c>
      <c r="F81" s="21" t="s">
        <v>119</v>
      </c>
      <c r="G81" s="23" t="s">
        <v>757</v>
      </c>
      <c r="H81" s="22">
        <v>46170</v>
      </c>
      <c r="I81" s="349">
        <v>30771.57</v>
      </c>
      <c r="J81" s="214" t="s">
        <v>98</v>
      </c>
      <c r="K81" s="322"/>
      <c r="L81" s="26"/>
      <c r="M81" s="27"/>
      <c r="N81" s="26"/>
      <c r="O81" s="26"/>
      <c r="P81" s="6"/>
      <c r="Q81" s="29"/>
      <c r="R81" s="31"/>
      <c r="S81" s="26"/>
    </row>
    <row r="82" spans="2:19">
      <c r="B82" s="223" t="s">
        <v>752</v>
      </c>
      <c r="C82" s="21" t="s">
        <v>661</v>
      </c>
      <c r="D82" s="22">
        <v>46045</v>
      </c>
      <c r="E82" s="21" t="s">
        <v>96</v>
      </c>
      <c r="F82" s="21" t="s">
        <v>119</v>
      </c>
      <c r="G82" s="23" t="s">
        <v>758</v>
      </c>
      <c r="H82" s="22">
        <v>46175</v>
      </c>
      <c r="I82" s="349">
        <v>50000</v>
      </c>
      <c r="J82" s="214" t="s">
        <v>98</v>
      </c>
      <c r="K82" s="322"/>
      <c r="L82" s="26"/>
      <c r="M82" s="27"/>
      <c r="N82" s="26"/>
      <c r="O82" s="26"/>
      <c r="P82" s="6"/>
      <c r="Q82" s="29"/>
      <c r="R82" s="31"/>
      <c r="S82" s="26"/>
    </row>
    <row r="83" spans="2:19">
      <c r="B83" s="223" t="s">
        <v>752</v>
      </c>
      <c r="C83" s="21" t="s">
        <v>661</v>
      </c>
      <c r="D83" s="22">
        <v>46045</v>
      </c>
      <c r="E83" s="21" t="s">
        <v>96</v>
      </c>
      <c r="F83" s="21" t="s">
        <v>119</v>
      </c>
      <c r="G83" s="23" t="s">
        <v>759</v>
      </c>
      <c r="H83" s="22">
        <v>46178</v>
      </c>
      <c r="I83" s="349">
        <v>50000</v>
      </c>
      <c r="J83" s="214" t="s">
        <v>98</v>
      </c>
      <c r="K83" s="322"/>
      <c r="L83" s="26"/>
      <c r="M83" s="27"/>
      <c r="N83" s="26"/>
      <c r="O83" s="26"/>
      <c r="P83" s="6"/>
      <c r="Q83" s="29"/>
      <c r="R83" s="31"/>
      <c r="S83" s="26"/>
    </row>
    <row r="84" spans="2:19">
      <c r="B84" s="223" t="s">
        <v>752</v>
      </c>
      <c r="C84" s="21" t="s">
        <v>661</v>
      </c>
      <c r="D84" s="22">
        <v>46038</v>
      </c>
      <c r="E84" s="21" t="s">
        <v>96</v>
      </c>
      <c r="F84" s="21" t="s">
        <v>119</v>
      </c>
      <c r="G84" s="23" t="s">
        <v>760</v>
      </c>
      <c r="H84" s="22">
        <v>46185</v>
      </c>
      <c r="I84" s="349">
        <v>50000</v>
      </c>
      <c r="J84" s="214" t="s">
        <v>98</v>
      </c>
      <c r="K84" s="322"/>
      <c r="L84" s="26"/>
      <c r="M84" s="27"/>
      <c r="N84" s="26"/>
      <c r="O84" s="26"/>
      <c r="P84" s="6"/>
      <c r="Q84" s="29"/>
      <c r="R84" s="31"/>
      <c r="S84" s="26"/>
    </row>
    <row r="85" spans="2:19">
      <c r="B85" s="223" t="s">
        <v>752</v>
      </c>
      <c r="C85" s="21" t="s">
        <v>661</v>
      </c>
      <c r="D85" s="22">
        <v>46049</v>
      </c>
      <c r="E85" s="21" t="s">
        <v>96</v>
      </c>
      <c r="F85" s="21" t="s">
        <v>119</v>
      </c>
      <c r="G85" s="23" t="s">
        <v>761</v>
      </c>
      <c r="H85" s="22">
        <v>46189</v>
      </c>
      <c r="I85" s="349">
        <v>50000</v>
      </c>
      <c r="J85" s="214" t="s">
        <v>98</v>
      </c>
      <c r="K85" s="322"/>
      <c r="L85" s="26"/>
      <c r="M85" s="27"/>
      <c r="N85" s="26"/>
      <c r="O85" s="26"/>
      <c r="P85" s="6"/>
      <c r="Q85" s="29"/>
      <c r="R85" s="31"/>
      <c r="S85" s="26"/>
    </row>
    <row r="86" spans="2:19">
      <c r="B86" s="223" t="s">
        <v>752</v>
      </c>
      <c r="C86" s="21" t="s">
        <v>661</v>
      </c>
      <c r="D86" s="22">
        <v>46049</v>
      </c>
      <c r="E86" s="21" t="s">
        <v>96</v>
      </c>
      <c r="F86" s="21" t="s">
        <v>119</v>
      </c>
      <c r="G86" s="23" t="s">
        <v>762</v>
      </c>
      <c r="H86" s="22">
        <v>46192</v>
      </c>
      <c r="I86" s="349">
        <v>50000</v>
      </c>
      <c r="J86" s="214" t="s">
        <v>98</v>
      </c>
      <c r="K86" s="322"/>
      <c r="L86" s="26"/>
      <c r="M86" s="27"/>
      <c r="N86" s="26"/>
      <c r="O86" s="26"/>
      <c r="P86" s="6"/>
      <c r="Q86" s="29"/>
      <c r="R86" s="31"/>
      <c r="S86" s="26"/>
    </row>
    <row r="87" spans="2:19">
      <c r="B87" s="223" t="s">
        <v>752</v>
      </c>
      <c r="C87" s="21" t="s">
        <v>661</v>
      </c>
      <c r="D87" s="22">
        <v>45954</v>
      </c>
      <c r="E87" s="21" t="s">
        <v>96</v>
      </c>
      <c r="F87" s="21" t="s">
        <v>119</v>
      </c>
      <c r="G87" s="23" t="s">
        <v>763</v>
      </c>
      <c r="H87" s="22">
        <v>46087</v>
      </c>
      <c r="I87" s="349">
        <v>50000</v>
      </c>
      <c r="J87" s="214" t="s">
        <v>764</v>
      </c>
      <c r="K87" s="322"/>
      <c r="L87" s="26"/>
      <c r="M87" s="27"/>
      <c r="N87" s="26"/>
      <c r="O87" s="26"/>
      <c r="P87" s="6"/>
      <c r="Q87" s="29"/>
      <c r="R87" s="31"/>
      <c r="S87" s="26"/>
    </row>
    <row r="88" spans="2:19">
      <c r="B88" s="223" t="s">
        <v>752</v>
      </c>
      <c r="C88" s="21" t="s">
        <v>661</v>
      </c>
      <c r="D88" s="22">
        <v>45982</v>
      </c>
      <c r="E88" s="21" t="s">
        <v>96</v>
      </c>
      <c r="F88" s="21" t="s">
        <v>119</v>
      </c>
      <c r="G88" s="23" t="s">
        <v>765</v>
      </c>
      <c r="H88" s="22">
        <v>46108</v>
      </c>
      <c r="I88" s="349">
        <v>50000</v>
      </c>
      <c r="J88" s="214" t="s">
        <v>766</v>
      </c>
      <c r="K88" s="322"/>
      <c r="L88" s="26"/>
      <c r="M88" s="27"/>
      <c r="N88" s="26"/>
      <c r="O88" s="26"/>
      <c r="P88" s="6"/>
      <c r="Q88" s="29"/>
      <c r="R88" s="31"/>
      <c r="S88" s="26"/>
    </row>
    <row r="89" spans="2:19">
      <c r="B89" s="223" t="s">
        <v>752</v>
      </c>
      <c r="C89" s="21" t="s">
        <v>661</v>
      </c>
      <c r="D89" s="22">
        <v>46055</v>
      </c>
      <c r="E89" s="21" t="s">
        <v>96</v>
      </c>
      <c r="F89" s="21" t="s">
        <v>119</v>
      </c>
      <c r="G89" s="23" t="s">
        <v>767</v>
      </c>
      <c r="H89" s="22">
        <v>46203</v>
      </c>
      <c r="I89" s="349">
        <v>50000</v>
      </c>
      <c r="J89" s="214" t="s">
        <v>98</v>
      </c>
      <c r="K89" s="322"/>
      <c r="L89" s="26"/>
      <c r="M89" s="27"/>
      <c r="N89" s="26"/>
      <c r="O89" s="26"/>
      <c r="P89" s="6"/>
      <c r="Q89" s="29"/>
      <c r="R89" s="31"/>
      <c r="S89" s="26"/>
    </row>
    <row r="90" spans="2:19">
      <c r="B90" s="223" t="s">
        <v>752</v>
      </c>
      <c r="C90" s="21" t="s">
        <v>661</v>
      </c>
      <c r="D90" s="22">
        <v>46063</v>
      </c>
      <c r="E90" s="21" t="s">
        <v>96</v>
      </c>
      <c r="F90" s="21" t="s">
        <v>119</v>
      </c>
      <c r="G90" s="23" t="s">
        <v>768</v>
      </c>
      <c r="H90" s="22">
        <v>46210</v>
      </c>
      <c r="I90" s="349">
        <v>50000</v>
      </c>
      <c r="J90" s="214" t="s">
        <v>98</v>
      </c>
      <c r="K90" s="322"/>
      <c r="L90" s="26"/>
      <c r="M90" s="27"/>
      <c r="N90" s="26"/>
      <c r="O90" s="26"/>
      <c r="P90" s="6"/>
      <c r="Q90" s="29"/>
      <c r="R90" s="31"/>
      <c r="S90" s="26"/>
    </row>
    <row r="91" spans="2:19">
      <c r="B91" s="355" t="s">
        <v>752</v>
      </c>
      <c r="C91" s="356" t="s">
        <v>661</v>
      </c>
      <c r="D91" s="357">
        <v>46073</v>
      </c>
      <c r="E91" s="356" t="s">
        <v>96</v>
      </c>
      <c r="F91" s="356" t="s">
        <v>119</v>
      </c>
      <c r="G91" s="358" t="s">
        <v>769</v>
      </c>
      <c r="H91" s="357">
        <v>46224</v>
      </c>
      <c r="I91" s="359">
        <v>50000</v>
      </c>
      <c r="J91" s="360" t="s">
        <v>99</v>
      </c>
      <c r="K91" s="322"/>
      <c r="L91" s="26"/>
      <c r="M91" s="27"/>
      <c r="N91" s="26"/>
      <c r="O91" s="26"/>
      <c r="P91" s="6"/>
      <c r="Q91" s="29"/>
      <c r="R91" s="31"/>
      <c r="S91" s="26"/>
    </row>
    <row r="92" spans="2:19">
      <c r="B92" s="19" t="s">
        <v>770</v>
      </c>
      <c r="C92" s="21"/>
      <c r="D92" s="22"/>
      <c r="E92" s="21"/>
      <c r="F92" s="21"/>
      <c r="G92" s="23"/>
      <c r="H92" s="22"/>
      <c r="I92" s="24">
        <f>SUM(I77:I91)</f>
        <v>725771.57</v>
      </c>
      <c r="J92" s="25"/>
      <c r="K92" s="322"/>
      <c r="L92" s="26"/>
      <c r="M92" s="27"/>
      <c r="N92" s="26"/>
      <c r="O92" s="26"/>
      <c r="P92" s="6"/>
      <c r="Q92" s="29"/>
      <c r="R92" s="31"/>
      <c r="S92" s="26"/>
    </row>
    <row r="93" spans="2:19">
      <c r="B93" s="361" t="s">
        <v>771</v>
      </c>
      <c r="C93" s="362" t="s">
        <v>661</v>
      </c>
      <c r="D93" s="363">
        <v>46225</v>
      </c>
      <c r="E93" s="362" t="s">
        <v>96</v>
      </c>
      <c r="F93" s="362" t="s">
        <v>115</v>
      </c>
      <c r="G93" s="364" t="s">
        <v>772</v>
      </c>
      <c r="H93" s="363">
        <v>46225</v>
      </c>
      <c r="I93" s="365">
        <v>15187</v>
      </c>
      <c r="J93" s="366" t="s">
        <v>98</v>
      </c>
      <c r="K93" s="322"/>
      <c r="L93" s="26"/>
      <c r="M93" s="27"/>
      <c r="N93" s="26"/>
      <c r="O93" s="26"/>
      <c r="P93" s="6"/>
      <c r="Q93" s="29"/>
      <c r="R93" s="31"/>
      <c r="S93" s="26"/>
    </row>
    <row r="94" spans="2:19">
      <c r="B94" s="19"/>
      <c r="C94" s="21"/>
      <c r="D94" s="22"/>
      <c r="E94" s="21"/>
      <c r="F94" s="21"/>
      <c r="G94" s="23"/>
      <c r="H94" s="22"/>
      <c r="I94" s="24"/>
      <c r="J94" s="25"/>
      <c r="K94" s="322"/>
      <c r="L94" s="26"/>
      <c r="M94" s="27"/>
      <c r="N94" s="26"/>
      <c r="O94" s="26"/>
      <c r="P94" s="6"/>
      <c r="Q94" s="29"/>
      <c r="R94" s="31"/>
      <c r="S94" s="26"/>
    </row>
    <row r="95" spans="2:19">
      <c r="B95" s="19"/>
      <c r="C95" s="21"/>
      <c r="D95" s="22"/>
      <c r="E95" s="21"/>
      <c r="F95" s="21"/>
      <c r="G95" s="23"/>
      <c r="H95" s="22"/>
      <c r="I95" s="24"/>
      <c r="J95" s="25"/>
      <c r="K95" s="322"/>
      <c r="L95" s="26"/>
      <c r="M95" s="27"/>
      <c r="N95" s="26"/>
      <c r="O95" s="26"/>
      <c r="P95" s="6"/>
      <c r="Q95" s="29"/>
      <c r="R95" s="31"/>
      <c r="S95" s="26"/>
    </row>
    <row r="96" ht="18.35" spans="2:19">
      <c r="B96" s="367"/>
      <c r="C96" s="21"/>
      <c r="D96" s="22"/>
      <c r="E96" s="21"/>
      <c r="F96" s="21"/>
      <c r="G96" s="23"/>
      <c r="H96" s="22"/>
      <c r="I96" s="368"/>
      <c r="J96" s="25"/>
      <c r="K96" s="322"/>
      <c r="L96" s="26"/>
      <c r="M96" s="27"/>
      <c r="N96" s="26"/>
      <c r="O96" s="26"/>
      <c r="P96" s="6"/>
      <c r="Q96" s="29"/>
      <c r="R96" s="31"/>
      <c r="S96" s="26"/>
    </row>
    <row r="97" ht="23.95" spans="2:10">
      <c r="B97" s="111"/>
      <c r="C97" s="26"/>
      <c r="D97" s="32" t="s">
        <v>773</v>
      </c>
      <c r="E97" s="33"/>
      <c r="F97" s="33"/>
      <c r="G97" s="33"/>
      <c r="H97" s="34"/>
      <c r="I97" s="35">
        <f>I7++I14+I17+I48+I49+I50+I57+I72+I76+I92+I93</f>
        <v>4261045.55</v>
      </c>
      <c r="J97" s="36"/>
    </row>
    <row r="98" spans="2:10">
      <c r="B98" s="111"/>
      <c r="C98" s="26"/>
      <c r="D98" s="27"/>
      <c r="E98" s="26"/>
      <c r="F98" s="26"/>
      <c r="G98" s="6"/>
      <c r="H98" s="29"/>
      <c r="I98" s="30"/>
      <c r="J98" s="26"/>
    </row>
    <row r="99" ht="18.35" spans="2:10">
      <c r="B99" s="111"/>
      <c r="C99" s="26"/>
      <c r="D99" s="27"/>
      <c r="E99" s="26"/>
      <c r="F99" s="26"/>
      <c r="G99" s="6"/>
      <c r="H99" s="29"/>
      <c r="I99" s="30"/>
      <c r="J99" s="26"/>
    </row>
    <row r="100" spans="2:10">
      <c r="B100" s="111"/>
      <c r="C100" s="26"/>
      <c r="D100" s="37" t="s">
        <v>774</v>
      </c>
      <c r="E100" s="38"/>
      <c r="F100" s="38"/>
      <c r="G100" s="38"/>
      <c r="H100" s="39"/>
      <c r="I100" s="157">
        <v>4245858.55</v>
      </c>
      <c r="J100" s="369">
        <f>($I$97-I100)/I100</f>
        <v>0.00357689730384447</v>
      </c>
    </row>
    <row r="101" spans="2:10">
      <c r="B101" s="111"/>
      <c r="C101" s="26"/>
      <c r="D101" s="42" t="s">
        <v>775</v>
      </c>
      <c r="E101" s="43"/>
      <c r="F101" s="43"/>
      <c r="G101" s="43"/>
      <c r="H101" s="44"/>
      <c r="I101" s="159">
        <v>4234758.55</v>
      </c>
      <c r="J101" s="370">
        <f t="shared" ref="J101:J102" si="0">($I$97-I101)/I101</f>
        <v>0.00620743772983232</v>
      </c>
    </row>
    <row r="102" ht="18.35" spans="2:10">
      <c r="B102" s="111"/>
      <c r="C102" s="26"/>
      <c r="D102" s="123" t="s">
        <v>776</v>
      </c>
      <c r="E102" s="124"/>
      <c r="F102" s="124"/>
      <c r="G102" s="125"/>
      <c r="H102" s="126"/>
      <c r="I102" s="161">
        <v>4314258.55</v>
      </c>
      <c r="J102" s="371">
        <f t="shared" si="0"/>
        <v>-0.0123342167334871</v>
      </c>
    </row>
    <row r="103" spans="2:10">
      <c r="B103" s="338"/>
      <c r="C103" s="26"/>
      <c r="D103" s="27"/>
      <c r="E103" s="26"/>
      <c r="F103" s="26"/>
      <c r="G103" s="6"/>
      <c r="H103" s="29"/>
      <c r="I103" s="31"/>
      <c r="J103" s="26"/>
    </row>
    <row r="104" spans="2:10">
      <c r="B104" s="26"/>
      <c r="C104" s="258"/>
      <c r="D104" s="129" t="s">
        <v>510</v>
      </c>
      <c r="E104" s="130"/>
      <c r="F104" s="131"/>
      <c r="G104" s="132"/>
      <c r="H104" s="29"/>
      <c r="I104" s="30"/>
      <c r="J104" s="26"/>
    </row>
    <row r="105" spans="2:10">
      <c r="B105" s="26"/>
      <c r="C105" s="26"/>
      <c r="D105" s="27"/>
      <c r="E105" s="26"/>
      <c r="F105" s="26"/>
      <c r="G105" s="6"/>
      <c r="H105" s="29"/>
      <c r="I105" s="30"/>
      <c r="J105" s="26"/>
    </row>
    <row r="107" spans="2:10">
      <c r="D107" s="49">
        <v>45449</v>
      </c>
      <c r="E107" s="339">
        <v>833139.58</v>
      </c>
      <c r="F107" s="340"/>
      <c r="G107" s="50"/>
    </row>
    <row r="108" spans="2:10">
      <c r="D108" s="49">
        <v>45456</v>
      </c>
      <c r="E108" s="339">
        <v>715284</v>
      </c>
      <c r="F108" s="340"/>
      <c r="G108" s="50"/>
    </row>
    <row r="109" spans="2:10">
      <c r="D109" s="49">
        <v>45463</v>
      </c>
      <c r="E109" s="339">
        <v>847444</v>
      </c>
      <c r="F109" s="340"/>
      <c r="G109" s="50"/>
    </row>
    <row r="110" spans="2:10">
      <c r="D110" s="49">
        <v>45470</v>
      </c>
      <c r="E110" s="339">
        <v>939524</v>
      </c>
      <c r="F110" s="340"/>
      <c r="G110" s="50"/>
    </row>
    <row r="111" spans="2:10">
      <c r="D111" s="49">
        <v>45477</v>
      </c>
      <c r="E111" s="339">
        <v>805124</v>
      </c>
      <c r="F111" s="340"/>
      <c r="G111" s="50"/>
    </row>
    <row r="112" spans="2:10">
      <c r="D112" s="49">
        <v>45484</v>
      </c>
      <c r="E112" s="339">
        <v>892744</v>
      </c>
      <c r="F112" s="340"/>
      <c r="G112" s="50"/>
    </row>
    <row r="113" spans="4:7">
      <c r="D113" s="49">
        <v>45491</v>
      </c>
      <c r="E113" s="339">
        <v>1036344</v>
      </c>
      <c r="F113" s="340"/>
      <c r="G113" s="50"/>
    </row>
    <row r="114" spans="4:7">
      <c r="D114" s="49">
        <v>45498</v>
      </c>
      <c r="E114" s="339">
        <v>858044</v>
      </c>
      <c r="F114" s="340"/>
      <c r="G114" s="50"/>
    </row>
    <row r="115" spans="4:7">
      <c r="D115" s="49">
        <v>45505</v>
      </c>
      <c r="E115" s="339">
        <v>1017427.82</v>
      </c>
      <c r="F115" s="340"/>
      <c r="G115" s="50"/>
    </row>
    <row r="116" spans="4:7">
      <c r="D116" s="49">
        <v>45512</v>
      </c>
      <c r="E116" s="339">
        <v>974274.39</v>
      </c>
      <c r="F116" s="340"/>
      <c r="G116" s="50"/>
    </row>
    <row r="117" spans="4:7">
      <c r="D117" s="49">
        <v>45519</v>
      </c>
      <c r="E117" s="339">
        <v>1012702.66</v>
      </c>
      <c r="F117" s="340"/>
      <c r="G117" s="50"/>
    </row>
    <row r="118" spans="4:7">
      <c r="D118" s="49">
        <v>45547</v>
      </c>
      <c r="E118" s="339">
        <v>908831</v>
      </c>
      <c r="F118" s="340"/>
      <c r="G118" s="50"/>
    </row>
    <row r="119" spans="4:7">
      <c r="D119" s="49">
        <v>45554</v>
      </c>
      <c r="E119" s="339">
        <v>1014173</v>
      </c>
      <c r="F119" s="340"/>
      <c r="G119" s="50"/>
    </row>
    <row r="120" spans="4:7">
      <c r="D120" s="49">
        <v>45561</v>
      </c>
      <c r="E120" s="339">
        <v>1084173</v>
      </c>
      <c r="F120" s="340"/>
      <c r="G120" s="50"/>
    </row>
    <row r="121" spans="4:7">
      <c r="D121" s="49">
        <v>45568</v>
      </c>
      <c r="E121" s="339">
        <v>1044893.63</v>
      </c>
      <c r="F121" s="340"/>
      <c r="G121" s="50"/>
    </row>
    <row r="122" spans="4:7">
      <c r="D122" s="49">
        <v>45575</v>
      </c>
      <c r="E122" s="339">
        <v>1243731.19</v>
      </c>
      <c r="F122" s="340"/>
      <c r="G122" s="50"/>
    </row>
    <row r="123" spans="4:7">
      <c r="D123" s="49">
        <v>45582</v>
      </c>
      <c r="E123" s="339">
        <v>1181331.19</v>
      </c>
      <c r="F123" s="340"/>
      <c r="G123" s="50"/>
    </row>
    <row r="124" spans="4:7">
      <c r="D124" s="49">
        <v>45589</v>
      </c>
      <c r="E124" s="339">
        <v>1176268.19</v>
      </c>
      <c r="F124" s="340"/>
      <c r="G124" s="50"/>
    </row>
    <row r="125" spans="4:7">
      <c r="D125" s="49">
        <v>45596</v>
      </c>
      <c r="E125" s="339">
        <v>1003466.19</v>
      </c>
      <c r="F125" s="340"/>
      <c r="G125" s="50"/>
    </row>
    <row r="126" spans="4:7">
      <c r="D126" s="49">
        <v>45603</v>
      </c>
      <c r="E126" s="339">
        <v>988466.19</v>
      </c>
      <c r="F126" s="340"/>
      <c r="G126" s="50"/>
    </row>
    <row r="127" spans="4:7">
      <c r="D127" s="49">
        <v>45610</v>
      </c>
      <c r="E127" s="339">
        <v>1003466.19</v>
      </c>
      <c r="F127" s="340"/>
      <c r="G127" s="50"/>
    </row>
    <row r="128" spans="4:7">
      <c r="D128" s="49">
        <v>45617</v>
      </c>
      <c r="E128" s="339">
        <v>1031723.19</v>
      </c>
      <c r="F128" s="340"/>
      <c r="G128" s="50"/>
    </row>
    <row r="129" spans="4:7">
      <c r="D129" s="49">
        <v>45624</v>
      </c>
      <c r="E129" s="339">
        <v>1148473.19</v>
      </c>
      <c r="F129" s="340"/>
      <c r="G129" s="50"/>
    </row>
    <row r="130" spans="4:7">
      <c r="D130" s="49">
        <v>45631</v>
      </c>
      <c r="E130" s="339">
        <v>1028128.38</v>
      </c>
      <c r="F130" s="340"/>
      <c r="G130" s="50"/>
    </row>
    <row r="131" spans="4:7">
      <c r="D131" s="49">
        <v>45638</v>
      </c>
      <c r="E131" s="339">
        <v>1028128.38</v>
      </c>
      <c r="F131" s="340"/>
      <c r="G131" s="50"/>
    </row>
    <row r="132" spans="4:7">
      <c r="D132" s="49">
        <v>45645</v>
      </c>
      <c r="E132" s="339">
        <v>1205172.56</v>
      </c>
      <c r="F132" s="340"/>
      <c r="G132" s="50"/>
    </row>
    <row r="133" spans="4:7">
      <c r="D133" s="49">
        <v>45652</v>
      </c>
      <c r="E133" s="339">
        <v>1225172.56</v>
      </c>
      <c r="F133" s="340"/>
      <c r="G133" s="50"/>
    </row>
    <row r="134" spans="4:7">
      <c r="D134" s="49">
        <v>45659</v>
      </c>
      <c r="E134" s="339">
        <v>1147011.45</v>
      </c>
      <c r="F134" s="340"/>
      <c r="G134" s="50"/>
    </row>
    <row r="135" spans="4:7">
      <c r="D135" s="49">
        <v>45666</v>
      </c>
      <c r="E135" s="339">
        <v>1065395.45</v>
      </c>
      <c r="F135" s="340"/>
      <c r="G135" s="50"/>
    </row>
    <row r="136" spans="4:7">
      <c r="D136" s="49">
        <v>45673</v>
      </c>
      <c r="E136" s="339">
        <v>782049.45</v>
      </c>
      <c r="F136" s="340"/>
      <c r="G136" s="50"/>
    </row>
    <row r="137" spans="4:7">
      <c r="D137" s="49">
        <v>45680</v>
      </c>
      <c r="E137" s="339">
        <v>919689.45</v>
      </c>
      <c r="F137" s="340"/>
      <c r="G137" s="50"/>
    </row>
    <row r="138" spans="4:7">
      <c r="D138" s="49">
        <v>45687</v>
      </c>
      <c r="E138" s="339">
        <v>909244.45</v>
      </c>
      <c r="F138" s="340"/>
      <c r="G138" s="50"/>
    </row>
    <row r="139" spans="4:7">
      <c r="D139" s="49">
        <v>45694</v>
      </c>
      <c r="E139" s="339">
        <v>729549.56</v>
      </c>
      <c r="F139" s="340"/>
      <c r="G139" s="50"/>
    </row>
    <row r="140" spans="4:7">
      <c r="D140" s="49">
        <v>45701</v>
      </c>
      <c r="E140" s="339">
        <v>907049.56</v>
      </c>
      <c r="F140" s="340"/>
      <c r="G140" s="50"/>
    </row>
    <row r="141" spans="4:7">
      <c r="D141" s="49">
        <v>45708</v>
      </c>
      <c r="E141" s="339">
        <v>875699.56</v>
      </c>
      <c r="F141" s="340"/>
      <c r="G141" s="50"/>
    </row>
    <row r="142" spans="4:7">
      <c r="D142" s="49">
        <v>45715</v>
      </c>
      <c r="E142" s="339">
        <v>1043999.56</v>
      </c>
      <c r="F142" s="340"/>
      <c r="G142" s="50"/>
    </row>
    <row r="143" spans="4:7">
      <c r="D143" s="49">
        <v>45722</v>
      </c>
      <c r="E143" s="339">
        <v>801375.56</v>
      </c>
      <c r="F143" s="340"/>
      <c r="G143" s="50"/>
    </row>
    <row r="144" spans="4:7">
      <c r="D144" s="49">
        <v>45730</v>
      </c>
      <c r="E144" s="339">
        <v>801375.56</v>
      </c>
      <c r="F144" s="340"/>
      <c r="G144" s="50"/>
    </row>
    <row r="145" spans="4:7">
      <c r="D145" s="49">
        <v>45736</v>
      </c>
      <c r="E145" s="339">
        <v>833959.56</v>
      </c>
      <c r="F145" s="340"/>
      <c r="G145" s="50"/>
    </row>
    <row r="146" spans="4:7">
      <c r="D146" s="49">
        <v>45743</v>
      </c>
      <c r="E146" s="339">
        <v>848959.56</v>
      </c>
      <c r="F146" s="340"/>
      <c r="G146" s="50"/>
    </row>
    <row r="147" spans="4:7">
      <c r="D147" s="49">
        <v>45750</v>
      </c>
      <c r="E147" s="339">
        <v>676631.56</v>
      </c>
      <c r="F147" s="340"/>
      <c r="G147" s="50"/>
    </row>
    <row r="148" spans="4:7">
      <c r="D148" s="49">
        <v>45757</v>
      </c>
      <c r="E148" s="339">
        <v>831462.56</v>
      </c>
      <c r="F148" s="340"/>
      <c r="G148" s="50"/>
    </row>
    <row r="149" spans="4:7">
      <c r="D149" s="49">
        <v>45764</v>
      </c>
      <c r="E149" s="339">
        <v>750191.56</v>
      </c>
      <c r="F149" s="340"/>
      <c r="G149" s="50"/>
    </row>
    <row r="150" spans="4:7">
      <c r="D150" s="49">
        <v>45771</v>
      </c>
      <c r="E150" s="339">
        <v>579371.56</v>
      </c>
      <c r="F150" s="340"/>
      <c r="G150" s="50"/>
    </row>
    <row r="151" spans="4:7">
      <c r="D151" s="49">
        <v>45779</v>
      </c>
      <c r="E151" s="339">
        <v>579371.56</v>
      </c>
      <c r="F151" s="340"/>
      <c r="G151" s="50"/>
    </row>
    <row r="152" spans="4:7">
      <c r="D152" s="49">
        <v>45792</v>
      </c>
      <c r="E152" s="339">
        <v>579371.56</v>
      </c>
      <c r="F152" s="340"/>
      <c r="G152" s="50"/>
    </row>
    <row r="153" spans="4:7">
      <c r="D153" s="49">
        <v>45799</v>
      </c>
      <c r="E153" s="339">
        <v>607371.56</v>
      </c>
      <c r="F153" s="340"/>
      <c r="G153" s="50"/>
    </row>
    <row r="154" spans="4:7">
      <c r="D154" s="49">
        <v>45806</v>
      </c>
      <c r="E154" s="339">
        <v>664371.56</v>
      </c>
      <c r="F154" s="340"/>
      <c r="G154" s="50"/>
    </row>
    <row r="155" spans="4:7">
      <c r="D155" s="49">
        <v>45820</v>
      </c>
      <c r="E155" s="339">
        <v>664371.56</v>
      </c>
      <c r="F155" s="340"/>
      <c r="G155" s="50"/>
    </row>
    <row r="156" spans="4:7">
      <c r="D156" s="49">
        <v>45827</v>
      </c>
      <c r="E156" s="339">
        <v>785838.4</v>
      </c>
      <c r="F156" s="340"/>
      <c r="G156" s="50"/>
    </row>
    <row r="157" spans="4:7">
      <c r="D157" s="49">
        <v>45842</v>
      </c>
      <c r="E157" s="339">
        <v>1186871.45</v>
      </c>
      <c r="F157" s="340"/>
      <c r="G157" s="50"/>
    </row>
    <row r="158" spans="4:7">
      <c r="D158" s="49">
        <v>45848</v>
      </c>
      <c r="E158" s="339">
        <v>1264449.51</v>
      </c>
      <c r="F158" s="340"/>
      <c r="G158" s="50"/>
    </row>
    <row r="159" spans="4:7">
      <c r="D159" s="49">
        <v>45856</v>
      </c>
      <c r="E159" s="339">
        <v>1278449.51</v>
      </c>
      <c r="F159" s="340"/>
      <c r="G159" s="50"/>
    </row>
    <row r="160" spans="4:7">
      <c r="D160" s="49">
        <v>45863</v>
      </c>
      <c r="E160" s="339">
        <v>1249949.51</v>
      </c>
      <c r="F160" s="340"/>
      <c r="G160" s="50"/>
    </row>
    <row r="161" spans="4:7">
      <c r="D161" s="49">
        <v>45880</v>
      </c>
      <c r="E161" s="52">
        <v>1589945.65</v>
      </c>
      <c r="F161" s="52"/>
      <c r="G161" s="52"/>
    </row>
    <row r="162" spans="4:7">
      <c r="D162" s="49">
        <v>45891</v>
      </c>
      <c r="E162" s="339">
        <v>1350087.51</v>
      </c>
      <c r="F162" s="340"/>
      <c r="G162" s="50"/>
    </row>
    <row r="163" spans="4:7">
      <c r="D163" s="49">
        <v>45919</v>
      </c>
      <c r="E163" s="52">
        <v>1634789.51</v>
      </c>
      <c r="F163" s="52"/>
      <c r="G163" s="52"/>
    </row>
    <row r="164" spans="4:7">
      <c r="D164" s="49">
        <v>45925</v>
      </c>
      <c r="E164" s="339">
        <v>1484789.51</v>
      </c>
      <c r="F164" s="340"/>
      <c r="G164" s="50"/>
    </row>
    <row r="165" spans="4:7">
      <c r="D165" s="49">
        <v>45933</v>
      </c>
      <c r="E165" s="339">
        <v>1443869.51</v>
      </c>
      <c r="F165" s="340"/>
      <c r="G165" s="50"/>
    </row>
    <row r="166" spans="4:7">
      <c r="D166" s="49">
        <v>45940</v>
      </c>
      <c r="E166" s="52">
        <v>1459036.22</v>
      </c>
      <c r="F166" s="52"/>
      <c r="G166" s="52"/>
    </row>
    <row r="167" spans="4:7">
      <c r="D167" s="49">
        <v>45947</v>
      </c>
      <c r="E167" s="52">
        <v>1259862.22</v>
      </c>
      <c r="F167" s="52"/>
      <c r="G167" s="52"/>
    </row>
    <row r="168" spans="4:7">
      <c r="D168" s="49">
        <v>45952</v>
      </c>
      <c r="E168" s="52">
        <v>1231704.22</v>
      </c>
      <c r="F168" s="52"/>
      <c r="G168" s="52"/>
    </row>
    <row r="169" spans="4:7">
      <c r="D169" s="49">
        <v>45961</v>
      </c>
      <c r="E169" s="339">
        <v>1338084.22</v>
      </c>
      <c r="F169" s="340"/>
      <c r="G169" s="50"/>
    </row>
    <row r="170" spans="4:7">
      <c r="D170" s="49">
        <v>45968</v>
      </c>
      <c r="E170" s="339">
        <v>1380978.82</v>
      </c>
      <c r="F170" s="340"/>
      <c r="G170" s="50"/>
    </row>
    <row r="171" spans="4:7">
      <c r="D171" s="49">
        <v>45975</v>
      </c>
      <c r="E171" s="339">
        <v>1262757.93</v>
      </c>
      <c r="F171" s="340"/>
      <c r="G171" s="50"/>
    </row>
    <row r="172" spans="4:7">
      <c r="D172" s="49">
        <v>45982</v>
      </c>
      <c r="E172" s="339">
        <v>1262757.93</v>
      </c>
      <c r="F172" s="340"/>
      <c r="G172" s="50"/>
    </row>
    <row r="173" spans="4:7">
      <c r="D173" s="49">
        <v>45989</v>
      </c>
      <c r="E173" s="52">
        <v>1290717.93</v>
      </c>
      <c r="F173" s="52"/>
      <c r="G173" s="52"/>
    </row>
    <row r="174" spans="4:7">
      <c r="D174" s="49">
        <v>45996</v>
      </c>
      <c r="E174" s="52">
        <v>1284987.93</v>
      </c>
      <c r="F174" s="52"/>
      <c r="G174" s="52"/>
    </row>
    <row r="175" spans="4:7">
      <c r="D175" s="49">
        <v>46003</v>
      </c>
      <c r="E175" s="339">
        <v>1284987.93</v>
      </c>
      <c r="F175" s="340"/>
      <c r="G175" s="50"/>
    </row>
    <row r="176" spans="4:7">
      <c r="D176" s="49">
        <v>46010</v>
      </c>
      <c r="E176" s="339">
        <v>1230818.74</v>
      </c>
      <c r="F176" s="340"/>
      <c r="G176" s="50"/>
    </row>
    <row r="177" spans="4:7">
      <c r="D177" s="49">
        <v>46016</v>
      </c>
      <c r="E177" s="52">
        <v>1391347.5</v>
      </c>
      <c r="F177" s="52"/>
      <c r="G177" s="52"/>
    </row>
    <row r="178" spans="4:7">
      <c r="D178" s="49">
        <v>46030</v>
      </c>
      <c r="E178" s="52">
        <v>1082481.55</v>
      </c>
      <c r="F178" s="52"/>
      <c r="G178" s="52"/>
    </row>
    <row r="179" spans="4:7">
      <c r="D179" s="49">
        <v>46042</v>
      </c>
      <c r="E179" s="339">
        <v>1289061.55</v>
      </c>
      <c r="F179" s="340"/>
      <c r="G179" s="50"/>
    </row>
    <row r="180" spans="4:7">
      <c r="D180" s="53">
        <v>46051</v>
      </c>
      <c r="E180" s="339">
        <v>1671496.55</v>
      </c>
      <c r="F180" s="340"/>
      <c r="G180" s="50"/>
    </row>
    <row r="181" spans="4:7">
      <c r="D181" s="53">
        <v>46066</v>
      </c>
      <c r="E181" s="339">
        <v>2095421.58</v>
      </c>
      <c r="F181" s="340"/>
      <c r="G181" s="50"/>
    </row>
    <row r="182" spans="4:7">
      <c r="D182" s="53">
        <v>46080</v>
      </c>
      <c r="E182" s="52">
        <v>2320885.99</v>
      </c>
      <c r="F182" s="52"/>
      <c r="G182" s="52"/>
    </row>
    <row r="183" spans="4:7">
      <c r="D183" s="53">
        <v>46087</v>
      </c>
      <c r="E183" s="339">
        <v>1947136.57</v>
      </c>
      <c r="F183" s="340"/>
      <c r="G183" s="50"/>
    </row>
    <row r="184" spans="4:7">
      <c r="D184" s="53">
        <v>46094</v>
      </c>
      <c r="E184" s="339">
        <v>2256497.57</v>
      </c>
      <c r="F184" s="340"/>
      <c r="G184" s="50"/>
    </row>
    <row r="185" spans="4:7">
      <c r="D185" s="53">
        <v>46114</v>
      </c>
      <c r="E185" s="339">
        <v>2430297.57</v>
      </c>
      <c r="F185" s="340"/>
      <c r="G185" s="50"/>
    </row>
    <row r="186" spans="4:7">
      <c r="D186" s="49">
        <v>46125</v>
      </c>
      <c r="E186" s="339">
        <v>2662599.38</v>
      </c>
      <c r="F186" s="340"/>
      <c r="G186" s="50"/>
    </row>
    <row r="187" spans="4:7">
      <c r="D187" s="53">
        <v>46136</v>
      </c>
      <c r="E187" s="339">
        <v>2798408.45</v>
      </c>
      <c r="F187" s="340"/>
      <c r="G187" s="50"/>
    </row>
    <row r="188" spans="4:7">
      <c r="D188" s="53">
        <v>46150</v>
      </c>
      <c r="E188" s="339">
        <v>2700735.44</v>
      </c>
      <c r="F188" s="340"/>
      <c r="G188" s="50"/>
    </row>
    <row r="189" spans="4:7">
      <c r="D189" s="53">
        <v>46157</v>
      </c>
      <c r="E189" s="339">
        <v>2843527.44</v>
      </c>
      <c r="F189" s="340"/>
      <c r="G189" s="50"/>
    </row>
    <row r="190" spans="4:7">
      <c r="D190" s="53">
        <v>46177</v>
      </c>
      <c r="E190" s="339">
        <v>3476870.81</v>
      </c>
      <c r="F190" s="340"/>
      <c r="G190" s="50"/>
    </row>
    <row r="191" spans="4:7">
      <c r="D191" s="53">
        <v>46185</v>
      </c>
      <c r="E191" s="339">
        <v>3652642.38</v>
      </c>
      <c r="F191" s="340"/>
      <c r="G191" s="50"/>
    </row>
    <row r="192" spans="4:7">
      <c r="D192" s="53">
        <v>46192</v>
      </c>
      <c r="E192" s="339">
        <v>3745758.38</v>
      </c>
      <c r="F192" s="340"/>
      <c r="G192" s="50"/>
    </row>
    <row r="193" spans="4:7">
      <c r="D193" s="53">
        <v>46199</v>
      </c>
      <c r="E193" s="339">
        <v>3948158.38</v>
      </c>
      <c r="F193" s="340"/>
      <c r="G193" s="50"/>
    </row>
    <row r="194" spans="4:7">
      <c r="D194" s="53">
        <v>46206</v>
      </c>
      <c r="E194" s="339">
        <v>4104083.16</v>
      </c>
      <c r="F194" s="340"/>
      <c r="G194" s="50"/>
    </row>
    <row r="195" spans="4:7">
      <c r="D195" s="53">
        <v>46213</v>
      </c>
      <c r="E195" s="339">
        <v>4314258.55</v>
      </c>
      <c r="F195" s="340"/>
      <c r="G195" s="50"/>
    </row>
    <row r="196" spans="4:7">
      <c r="D196" s="53">
        <v>46220</v>
      </c>
      <c r="E196" s="339">
        <v>4234758.55</v>
      </c>
      <c r="F196" s="340"/>
      <c r="G196" s="50"/>
    </row>
    <row r="197" spans="4:7">
      <c r="D197" s="53">
        <v>46227</v>
      </c>
      <c r="E197" s="339">
        <v>4245858.55</v>
      </c>
      <c r="F197" s="340"/>
      <c r="G197" s="50"/>
    </row>
    <row r="198" spans="4:7">
      <c r="D198" s="53">
        <v>46234</v>
      </c>
      <c r="E198" s="339">
        <v>4261045.55</v>
      </c>
      <c r="F198" s="340"/>
      <c r="G198" s="50"/>
    </row>
    <row r="199" spans="4:7">
      <c r="D199" s="5"/>
    </row>
    <row r="200" spans="4:7">
      <c r="D200" s="5"/>
    </row>
    <row r="201" spans="4:7">
      <c r="D201" s="5"/>
    </row>
    <row r="202" spans="4:7">
      <c r="D202" s="5"/>
    </row>
    <row r="203" spans="4:7">
      <c r="D203" s="5"/>
    </row>
    <row r="204" spans="4:7">
      <c r="D204" s="5"/>
    </row>
    <row r="205" spans="4:7">
      <c r="D205" s="5"/>
    </row>
    <row r="206" spans="4:7">
      <c r="D206" s="5"/>
    </row>
    <row r="207" spans="4:7">
      <c r="D207" s="5"/>
    </row>
    <row r="208" spans="4:7">
      <c r="D208" s="5"/>
    </row>
    <row r="209" spans="4:4">
      <c r="D209" s="5"/>
    </row>
    <row r="210" spans="4:4">
      <c r="D210" s="5"/>
    </row>
    <row r="211" spans="4:4">
      <c r="D211" s="5"/>
    </row>
  </sheetData>
  <mergeCells count="97">
    <mergeCell ref="D2:H2"/>
    <mergeCell ref="D97:H97"/>
    <mergeCell ref="I97:J97"/>
    <mergeCell ref="D100:H100"/>
    <mergeCell ref="D101:H101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74"/>
  <sheetViews>
    <sheetView topLeftCell="A152" workbookViewId="0">
      <selection activeCell="E165" sqref="E165"/>
    </sheetView>
  </sheetViews>
  <sheetFormatPr defaultColWidth="11" defaultRowHeight="17.6"/>
  <cols>
    <col min="2" max="2" width="34" customWidth="1"/>
    <col min="3" max="3" width="6.875" customWidth="1"/>
    <col min="5" max="5" width="4.625" customWidth="1"/>
    <col min="6" max="6" width="8" customWidth="1"/>
    <col min="7" max="7" width="6.875" customWidth="1"/>
    <col min="9" max="9" width="12.375" customWidth="1"/>
    <col min="10" max="10" width="35.875" customWidth="1"/>
  </cols>
  <sheetData>
    <row r="2" ht="18.35"/>
    <row r="3" ht="18.35" spans="2:10">
      <c r="D3" s="166" t="s">
        <v>777</v>
      </c>
      <c r="E3" s="167"/>
      <c r="F3" s="167"/>
      <c r="G3" s="167"/>
      <c r="H3" s="168"/>
      <c r="I3" s="4"/>
    </row>
    <row r="4" spans="2:10">
      <c r="D4" s="5"/>
      <c r="G4" s="6"/>
      <c r="H4" s="5"/>
      <c r="I4" s="4"/>
    </row>
    <row r="5" ht="18.35" spans="2:10">
      <c r="D5" s="5"/>
      <c r="G5" s="6"/>
      <c r="H5" s="5"/>
      <c r="I5" s="4"/>
    </row>
    <row r="6" spans="2:10">
      <c r="B6" s="264" t="s">
        <v>85</v>
      </c>
      <c r="C6" s="265" t="s">
        <v>86</v>
      </c>
      <c r="D6" s="9" t="s">
        <v>87</v>
      </c>
      <c r="E6" s="265" t="s">
        <v>88</v>
      </c>
      <c r="F6" s="265" t="s">
        <v>89</v>
      </c>
      <c r="G6" s="172" t="s">
        <v>90</v>
      </c>
      <c r="H6" s="266" t="s">
        <v>91</v>
      </c>
      <c r="I6" s="267" t="s">
        <v>92</v>
      </c>
      <c r="J6" s="268" t="s">
        <v>93</v>
      </c>
    </row>
    <row r="7" spans="2:10">
      <c r="B7" s="269" t="s">
        <v>778</v>
      </c>
      <c r="C7" s="270" t="s">
        <v>779</v>
      </c>
      <c r="D7" s="271">
        <v>44616</v>
      </c>
      <c r="E7" s="270" t="s">
        <v>114</v>
      </c>
      <c r="F7" s="270" t="s">
        <v>119</v>
      </c>
      <c r="G7" s="272" t="s">
        <v>780</v>
      </c>
      <c r="H7" s="273">
        <v>44635</v>
      </c>
      <c r="I7" s="220">
        <v>35000</v>
      </c>
      <c r="J7" s="274" t="s">
        <v>98</v>
      </c>
    </row>
    <row r="8" spans="2:10">
      <c r="B8" s="77" t="s">
        <v>781</v>
      </c>
      <c r="C8" s="275" t="s">
        <v>779</v>
      </c>
      <c r="D8" s="79">
        <v>45735</v>
      </c>
      <c r="E8" s="275" t="s">
        <v>96</v>
      </c>
      <c r="F8" s="275" t="s">
        <v>106</v>
      </c>
      <c r="G8" s="234" t="s">
        <v>782</v>
      </c>
      <c r="H8" s="92">
        <v>45828</v>
      </c>
      <c r="I8" s="81">
        <v>16812.5</v>
      </c>
      <c r="J8" s="82" t="s">
        <v>783</v>
      </c>
    </row>
    <row r="9" spans="2:10">
      <c r="B9" s="83" t="s">
        <v>784</v>
      </c>
      <c r="C9" s="26" t="s">
        <v>779</v>
      </c>
      <c r="D9" s="27">
        <v>45735</v>
      </c>
      <c r="E9" s="26" t="s">
        <v>96</v>
      </c>
      <c r="F9" s="26" t="s">
        <v>106</v>
      </c>
      <c r="G9" s="6" t="s">
        <v>785</v>
      </c>
      <c r="H9" s="29">
        <v>45868</v>
      </c>
      <c r="I9" s="84">
        <v>48</v>
      </c>
      <c r="J9" s="85" t="s">
        <v>786</v>
      </c>
    </row>
    <row r="10" spans="2:10">
      <c r="B10" s="83" t="s">
        <v>787</v>
      </c>
      <c r="C10" s="26" t="s">
        <v>779</v>
      </c>
      <c r="D10" s="27">
        <v>45796</v>
      </c>
      <c r="E10" s="26" t="s">
        <v>96</v>
      </c>
      <c r="F10" s="26" t="s">
        <v>103</v>
      </c>
      <c r="G10" s="6" t="s">
        <v>788</v>
      </c>
      <c r="H10" s="29">
        <v>46016</v>
      </c>
      <c r="I10" s="84">
        <v>95000</v>
      </c>
      <c r="J10" s="85" t="s">
        <v>98</v>
      </c>
    </row>
    <row r="11" spans="2:10">
      <c r="B11" s="83" t="s">
        <v>787</v>
      </c>
      <c r="C11" s="26" t="s">
        <v>779</v>
      </c>
      <c r="D11" s="27">
        <v>45786</v>
      </c>
      <c r="E11" s="26" t="s">
        <v>96</v>
      </c>
      <c r="F11" s="26" t="s">
        <v>103</v>
      </c>
      <c r="G11" s="6" t="s">
        <v>789</v>
      </c>
      <c r="H11" s="29">
        <v>46011</v>
      </c>
      <c r="I11" s="84">
        <v>85000</v>
      </c>
      <c r="J11" s="85" t="s">
        <v>98</v>
      </c>
    </row>
    <row r="12" spans="2:10">
      <c r="B12" s="83" t="s">
        <v>787</v>
      </c>
      <c r="C12" s="26" t="s">
        <v>779</v>
      </c>
      <c r="D12" s="27">
        <v>45833</v>
      </c>
      <c r="E12" s="26" t="s">
        <v>96</v>
      </c>
      <c r="F12" s="26" t="s">
        <v>103</v>
      </c>
      <c r="G12" s="6" t="s">
        <v>790</v>
      </c>
      <c r="H12" s="29">
        <v>46022</v>
      </c>
      <c r="I12" s="84">
        <v>80419.2</v>
      </c>
      <c r="J12" s="85" t="s">
        <v>98</v>
      </c>
    </row>
    <row r="13" spans="2:10">
      <c r="B13" s="83" t="s">
        <v>787</v>
      </c>
      <c r="C13" s="26" t="s">
        <v>779</v>
      </c>
      <c r="D13" s="27">
        <v>45833</v>
      </c>
      <c r="E13" s="26" t="s">
        <v>96</v>
      </c>
      <c r="F13" s="26" t="s">
        <v>103</v>
      </c>
      <c r="G13" s="6" t="s">
        <v>791</v>
      </c>
      <c r="H13" s="29">
        <v>46032</v>
      </c>
      <c r="I13" s="84">
        <v>90000</v>
      </c>
      <c r="J13" s="85" t="s">
        <v>98</v>
      </c>
    </row>
    <row r="14" spans="2:10">
      <c r="B14" s="83" t="s">
        <v>792</v>
      </c>
      <c r="C14" s="26" t="s">
        <v>779</v>
      </c>
      <c r="D14" s="27">
        <v>45911</v>
      </c>
      <c r="E14" s="26" t="s">
        <v>96</v>
      </c>
      <c r="F14" s="26" t="s">
        <v>106</v>
      </c>
      <c r="G14" s="6" t="s">
        <v>793</v>
      </c>
      <c r="H14" s="29">
        <v>46111</v>
      </c>
      <c r="I14" s="84">
        <v>7600</v>
      </c>
      <c r="J14" s="85" t="s">
        <v>98</v>
      </c>
    </row>
    <row r="15" spans="2:10">
      <c r="B15" s="83" t="s">
        <v>792</v>
      </c>
      <c r="C15" s="26" t="s">
        <v>779</v>
      </c>
      <c r="D15" s="27">
        <v>45911</v>
      </c>
      <c r="E15" s="26" t="s">
        <v>96</v>
      </c>
      <c r="F15" s="26" t="s">
        <v>106</v>
      </c>
      <c r="G15" s="6" t="s">
        <v>794</v>
      </c>
      <c r="H15" s="29">
        <v>46111</v>
      </c>
      <c r="I15" s="84">
        <v>20000</v>
      </c>
      <c r="J15" s="85" t="s">
        <v>98</v>
      </c>
    </row>
    <row r="16" spans="2:10">
      <c r="B16" s="83" t="s">
        <v>795</v>
      </c>
      <c r="C16" s="26" t="s">
        <v>779</v>
      </c>
      <c r="D16" s="27">
        <v>45944</v>
      </c>
      <c r="E16" s="26" t="s">
        <v>96</v>
      </c>
      <c r="F16" s="26" t="s">
        <v>115</v>
      </c>
      <c r="G16" s="6" t="s">
        <v>796</v>
      </c>
      <c r="H16" s="29">
        <v>46122</v>
      </c>
      <c r="I16" s="84">
        <v>123617.62</v>
      </c>
      <c r="J16" s="85" t="s">
        <v>98</v>
      </c>
    </row>
    <row r="17" spans="2:10">
      <c r="B17" s="83" t="s">
        <v>792</v>
      </c>
      <c r="C17" s="26" t="s">
        <v>779</v>
      </c>
      <c r="D17" s="27">
        <v>45959</v>
      </c>
      <c r="E17" s="26" t="s">
        <v>96</v>
      </c>
      <c r="F17" s="26" t="s">
        <v>106</v>
      </c>
      <c r="G17" s="6" t="s">
        <v>797</v>
      </c>
      <c r="H17" s="29">
        <v>46142</v>
      </c>
      <c r="I17" s="84">
        <v>10000</v>
      </c>
      <c r="J17" s="85" t="s">
        <v>98</v>
      </c>
    </row>
    <row r="18" spans="2:10">
      <c r="B18" s="83" t="s">
        <v>792</v>
      </c>
      <c r="C18" s="26" t="s">
        <v>779</v>
      </c>
      <c r="D18" s="27">
        <v>45841</v>
      </c>
      <c r="E18" s="26" t="s">
        <v>96</v>
      </c>
      <c r="F18" s="26" t="s">
        <v>106</v>
      </c>
      <c r="G18" s="6" t="s">
        <v>798</v>
      </c>
      <c r="H18" s="29">
        <v>46142</v>
      </c>
      <c r="I18" s="84">
        <v>15000</v>
      </c>
      <c r="J18" s="85" t="s">
        <v>98</v>
      </c>
    </row>
    <row r="19" spans="2:10">
      <c r="B19" s="83" t="s">
        <v>792</v>
      </c>
      <c r="C19" s="26" t="s">
        <v>779</v>
      </c>
      <c r="D19" s="27">
        <v>45959</v>
      </c>
      <c r="E19" s="26" t="s">
        <v>96</v>
      </c>
      <c r="F19" s="26" t="s">
        <v>106</v>
      </c>
      <c r="G19" s="6" t="s">
        <v>799</v>
      </c>
      <c r="H19" s="29">
        <v>46142</v>
      </c>
      <c r="I19" s="84">
        <v>30000</v>
      </c>
      <c r="J19" s="85" t="s">
        <v>98</v>
      </c>
    </row>
    <row r="20" spans="2:10">
      <c r="B20" s="83" t="s">
        <v>800</v>
      </c>
      <c r="C20" s="26" t="s">
        <v>779</v>
      </c>
      <c r="D20" s="27">
        <v>45959</v>
      </c>
      <c r="E20" s="26" t="s">
        <v>96</v>
      </c>
      <c r="F20" s="26" t="s">
        <v>115</v>
      </c>
      <c r="G20" s="6" t="s">
        <v>801</v>
      </c>
      <c r="H20" s="29">
        <v>46142</v>
      </c>
      <c r="I20" s="84">
        <v>111259.51</v>
      </c>
      <c r="J20" s="85" t="s">
        <v>98</v>
      </c>
    </row>
    <row r="21" spans="2:10">
      <c r="B21" s="83" t="s">
        <v>802</v>
      </c>
      <c r="C21" s="26" t="s">
        <v>779</v>
      </c>
      <c r="D21" s="27">
        <v>45629</v>
      </c>
      <c r="E21" s="26" t="s">
        <v>114</v>
      </c>
      <c r="F21" s="26" t="s">
        <v>192</v>
      </c>
      <c r="G21" s="6" t="s">
        <v>803</v>
      </c>
      <c r="H21" s="29">
        <v>46150</v>
      </c>
      <c r="I21" s="84">
        <v>57500</v>
      </c>
      <c r="J21" s="85" t="s">
        <v>98</v>
      </c>
    </row>
    <row r="22" spans="2:10">
      <c r="B22" s="83" t="s">
        <v>795</v>
      </c>
      <c r="C22" s="26" t="s">
        <v>779</v>
      </c>
      <c r="D22" s="27">
        <v>45959</v>
      </c>
      <c r="E22" s="26" t="s">
        <v>96</v>
      </c>
      <c r="F22" s="26" t="s">
        <v>115</v>
      </c>
      <c r="G22" s="6" t="s">
        <v>804</v>
      </c>
      <c r="H22" s="29">
        <v>46063</v>
      </c>
      <c r="I22" s="84">
        <v>105728.81</v>
      </c>
      <c r="J22" s="276" t="s">
        <v>805</v>
      </c>
    </row>
    <row r="23" spans="2:10">
      <c r="B23" s="83" t="s">
        <v>792</v>
      </c>
      <c r="C23" s="26" t="s">
        <v>779</v>
      </c>
      <c r="D23" s="27">
        <v>45845</v>
      </c>
      <c r="E23" s="26" t="s">
        <v>96</v>
      </c>
      <c r="F23" s="26" t="s">
        <v>106</v>
      </c>
      <c r="G23" s="6" t="s">
        <v>806</v>
      </c>
      <c r="H23" s="29">
        <v>46172</v>
      </c>
      <c r="I23" s="84">
        <v>35000</v>
      </c>
      <c r="J23" s="276"/>
    </row>
    <row r="24" spans="2:10">
      <c r="B24" s="86" t="s">
        <v>792</v>
      </c>
      <c r="C24" s="277" t="s">
        <v>779</v>
      </c>
      <c r="D24" s="88">
        <v>45989</v>
      </c>
      <c r="E24" s="277" t="s">
        <v>96</v>
      </c>
      <c r="F24" s="277" t="s">
        <v>106</v>
      </c>
      <c r="G24" s="278" t="s">
        <v>807</v>
      </c>
      <c r="H24" s="93">
        <v>46172</v>
      </c>
      <c r="I24" s="90">
        <v>20000</v>
      </c>
      <c r="J24" s="279"/>
    </row>
    <row r="25" spans="2:10">
      <c r="B25" s="111" t="s">
        <v>808</v>
      </c>
      <c r="C25" s="26"/>
      <c r="D25" s="27"/>
      <c r="E25" s="26"/>
      <c r="F25" s="26"/>
      <c r="G25" s="6"/>
      <c r="H25" s="29"/>
      <c r="I25" s="76">
        <f>SUM(I8:I24)</f>
        <v>902985.64</v>
      </c>
      <c r="J25" s="26"/>
    </row>
    <row r="26" spans="2:10">
      <c r="B26" s="112" t="s">
        <v>809</v>
      </c>
      <c r="C26" s="275" t="s">
        <v>779</v>
      </c>
      <c r="D26" s="79">
        <v>45104</v>
      </c>
      <c r="E26" s="275" t="s">
        <v>114</v>
      </c>
      <c r="F26" s="275" t="s">
        <v>192</v>
      </c>
      <c r="G26" s="234" t="s">
        <v>810</v>
      </c>
      <c r="H26" s="92">
        <v>45131</v>
      </c>
      <c r="I26" s="113">
        <v>2089.92</v>
      </c>
      <c r="J26" s="82" t="s">
        <v>811</v>
      </c>
    </row>
    <row r="27" spans="2:10">
      <c r="B27" s="77" t="s">
        <v>812</v>
      </c>
      <c r="C27" s="280" t="s">
        <v>779</v>
      </c>
      <c r="D27" s="104">
        <v>45519</v>
      </c>
      <c r="E27" s="280" t="s">
        <v>96</v>
      </c>
      <c r="F27" s="280" t="s">
        <v>119</v>
      </c>
      <c r="G27" s="281" t="s">
        <v>813</v>
      </c>
      <c r="H27" s="105">
        <v>45642</v>
      </c>
      <c r="I27" s="81">
        <v>4949.78</v>
      </c>
      <c r="J27" s="106" t="s">
        <v>814</v>
      </c>
    </row>
    <row r="28" spans="2:10">
      <c r="B28" s="86" t="s">
        <v>812</v>
      </c>
      <c r="C28" s="282" t="s">
        <v>779</v>
      </c>
      <c r="D28" s="154">
        <v>45523</v>
      </c>
      <c r="E28" s="282" t="s">
        <v>96</v>
      </c>
      <c r="F28" s="282" t="s">
        <v>119</v>
      </c>
      <c r="G28" s="283" t="s">
        <v>815</v>
      </c>
      <c r="H28" s="155">
        <v>45656</v>
      </c>
      <c r="I28" s="90">
        <v>32813.73</v>
      </c>
      <c r="J28" s="156" t="s">
        <v>98</v>
      </c>
    </row>
    <row r="29" spans="2:10">
      <c r="B29" s="70" t="s">
        <v>816</v>
      </c>
      <c r="C29" s="26"/>
      <c r="D29" s="27"/>
      <c r="E29" s="26"/>
      <c r="F29" s="26"/>
      <c r="G29" s="6"/>
      <c r="H29" s="29"/>
      <c r="I29" s="76">
        <f>SUM(I27:I28)</f>
        <v>37763.51</v>
      </c>
      <c r="J29" s="26"/>
    </row>
    <row r="30" spans="2:10">
      <c r="B30" s="112" t="s">
        <v>817</v>
      </c>
      <c r="C30" s="275" t="s">
        <v>779</v>
      </c>
      <c r="D30" s="79">
        <v>45259</v>
      </c>
      <c r="E30" s="275" t="s">
        <v>114</v>
      </c>
      <c r="F30" s="275" t="s">
        <v>106</v>
      </c>
      <c r="G30" s="234" t="s">
        <v>818</v>
      </c>
      <c r="H30" s="92">
        <v>45290</v>
      </c>
      <c r="I30" s="113">
        <v>15280</v>
      </c>
      <c r="J30" s="82" t="s">
        <v>819</v>
      </c>
    </row>
    <row r="31" spans="2:10">
      <c r="B31" s="77" t="s">
        <v>820</v>
      </c>
      <c r="C31" s="275" t="s">
        <v>779</v>
      </c>
      <c r="D31" s="79">
        <v>45980</v>
      </c>
      <c r="E31" s="275" t="s">
        <v>96</v>
      </c>
      <c r="F31" s="275" t="s">
        <v>97</v>
      </c>
      <c r="G31" s="234" t="s">
        <v>821</v>
      </c>
      <c r="H31" s="92">
        <v>46069</v>
      </c>
      <c r="I31" s="81">
        <v>24687.55</v>
      </c>
      <c r="J31" s="82" t="s">
        <v>98</v>
      </c>
    </row>
    <row r="32" spans="2:10">
      <c r="B32" s="83" t="s">
        <v>820</v>
      </c>
      <c r="C32" s="284" t="s">
        <v>779</v>
      </c>
      <c r="D32" s="285">
        <v>45980</v>
      </c>
      <c r="E32" s="284" t="s">
        <v>96</v>
      </c>
      <c r="F32" s="284" t="s">
        <v>97</v>
      </c>
      <c r="G32" s="286" t="s">
        <v>822</v>
      </c>
      <c r="H32" s="287">
        <v>46076</v>
      </c>
      <c r="I32" s="288">
        <v>24685</v>
      </c>
      <c r="J32" s="85" t="s">
        <v>98</v>
      </c>
    </row>
    <row r="33" spans="2:10">
      <c r="B33" s="83" t="s">
        <v>820</v>
      </c>
      <c r="C33" s="284" t="s">
        <v>779</v>
      </c>
      <c r="D33" s="285">
        <v>46017</v>
      </c>
      <c r="E33" s="284" t="s">
        <v>96</v>
      </c>
      <c r="F33" s="284" t="s">
        <v>97</v>
      </c>
      <c r="G33" s="286" t="s">
        <v>823</v>
      </c>
      <c r="H33" s="287">
        <v>46167</v>
      </c>
      <c r="I33" s="288">
        <v>18023</v>
      </c>
      <c r="J33" s="85" t="s">
        <v>98</v>
      </c>
    </row>
    <row r="34" spans="2:10">
      <c r="B34" s="83" t="s">
        <v>824</v>
      </c>
      <c r="C34" s="284" t="s">
        <v>779</v>
      </c>
      <c r="D34" s="285">
        <v>46031</v>
      </c>
      <c r="E34" s="284" t="s">
        <v>96</v>
      </c>
      <c r="F34" s="284" t="s">
        <v>97</v>
      </c>
      <c r="G34" s="286" t="s">
        <v>825</v>
      </c>
      <c r="H34" s="287">
        <v>46182</v>
      </c>
      <c r="I34" s="288">
        <v>18023</v>
      </c>
      <c r="J34" s="85" t="s">
        <v>98</v>
      </c>
    </row>
    <row r="35" spans="2:10">
      <c r="B35" s="83" t="s">
        <v>824</v>
      </c>
      <c r="C35" s="284" t="s">
        <v>779</v>
      </c>
      <c r="D35" s="285">
        <v>46031</v>
      </c>
      <c r="E35" s="284" t="s">
        <v>96</v>
      </c>
      <c r="F35" s="284" t="s">
        <v>97</v>
      </c>
      <c r="G35" s="286" t="s">
        <v>826</v>
      </c>
      <c r="H35" s="287">
        <v>46189</v>
      </c>
      <c r="I35" s="288">
        <v>18023</v>
      </c>
      <c r="J35" s="85" t="s">
        <v>98</v>
      </c>
    </row>
    <row r="36" spans="2:10">
      <c r="B36" s="83" t="s">
        <v>824</v>
      </c>
      <c r="C36" s="284" t="s">
        <v>779</v>
      </c>
      <c r="D36" s="285">
        <v>46031</v>
      </c>
      <c r="E36" s="284" t="s">
        <v>96</v>
      </c>
      <c r="F36" s="284" t="s">
        <v>97</v>
      </c>
      <c r="G36" s="286" t="s">
        <v>827</v>
      </c>
      <c r="H36" s="287">
        <v>46192</v>
      </c>
      <c r="I36" s="288">
        <v>18023</v>
      </c>
      <c r="J36" s="85" t="s">
        <v>98</v>
      </c>
    </row>
    <row r="37" spans="2:10">
      <c r="B37" s="83" t="s">
        <v>828</v>
      </c>
      <c r="C37" s="284" t="s">
        <v>779</v>
      </c>
      <c r="D37" s="285">
        <v>46055</v>
      </c>
      <c r="E37" s="284" t="s">
        <v>96</v>
      </c>
      <c r="F37" s="284" t="s">
        <v>97</v>
      </c>
      <c r="G37" s="286" t="s">
        <v>829</v>
      </c>
      <c r="H37" s="287">
        <v>46196</v>
      </c>
      <c r="I37" s="288">
        <v>18023</v>
      </c>
      <c r="J37" s="85" t="s">
        <v>98</v>
      </c>
    </row>
    <row r="38" spans="2:10">
      <c r="B38" s="83" t="s">
        <v>828</v>
      </c>
      <c r="C38" s="284" t="s">
        <v>779</v>
      </c>
      <c r="D38" s="285">
        <v>46071</v>
      </c>
      <c r="E38" s="284" t="s">
        <v>96</v>
      </c>
      <c r="F38" s="284" t="s">
        <v>97</v>
      </c>
      <c r="G38" s="286" t="s">
        <v>830</v>
      </c>
      <c r="H38" s="287">
        <v>46199</v>
      </c>
      <c r="I38" s="288">
        <v>18023</v>
      </c>
      <c r="J38" s="85" t="s">
        <v>98</v>
      </c>
    </row>
    <row r="39" spans="2:10">
      <c r="B39" s="86" t="s">
        <v>820</v>
      </c>
      <c r="C39" s="277" t="s">
        <v>779</v>
      </c>
      <c r="D39" s="88">
        <v>46095</v>
      </c>
      <c r="E39" s="277" t="s">
        <v>96</v>
      </c>
      <c r="F39" s="277" t="s">
        <v>97</v>
      </c>
      <c r="G39" s="278" t="s">
        <v>831</v>
      </c>
      <c r="H39" s="93">
        <v>46210</v>
      </c>
      <c r="I39" s="90">
        <v>18028.36</v>
      </c>
      <c r="J39" s="91" t="s">
        <v>98</v>
      </c>
    </row>
    <row r="40" spans="2:10">
      <c r="B40" s="70" t="s">
        <v>832</v>
      </c>
      <c r="C40" s="26"/>
      <c r="D40" s="27"/>
      <c r="E40" s="26"/>
      <c r="F40" s="26"/>
      <c r="G40" s="6"/>
      <c r="H40" s="29"/>
      <c r="I40" s="76">
        <f>SUM(I31:I39)</f>
        <v>175538.91</v>
      </c>
      <c r="J40" s="26"/>
    </row>
    <row r="41" spans="2:10">
      <c r="B41" s="94" t="s">
        <v>833</v>
      </c>
      <c r="C41" s="78" t="s">
        <v>779</v>
      </c>
      <c r="D41" s="79">
        <v>45628</v>
      </c>
      <c r="E41" s="78" t="s">
        <v>114</v>
      </c>
      <c r="F41" s="78" t="s">
        <v>103</v>
      </c>
      <c r="G41" s="80" t="s">
        <v>834</v>
      </c>
      <c r="H41" s="79">
        <v>45880</v>
      </c>
      <c r="I41" s="289">
        <v>20000</v>
      </c>
      <c r="J41" s="290" t="s">
        <v>835</v>
      </c>
    </row>
    <row r="42" spans="2:10">
      <c r="B42" s="100" t="s">
        <v>833</v>
      </c>
      <c r="C42" s="87" t="s">
        <v>779</v>
      </c>
      <c r="D42" s="88">
        <v>45923</v>
      </c>
      <c r="E42" s="87" t="s">
        <v>114</v>
      </c>
      <c r="F42" s="87" t="s">
        <v>103</v>
      </c>
      <c r="G42" s="89" t="s">
        <v>836</v>
      </c>
      <c r="H42" s="88">
        <v>46112</v>
      </c>
      <c r="I42" s="291">
        <v>36115.4</v>
      </c>
      <c r="J42" s="292" t="s">
        <v>98</v>
      </c>
    </row>
    <row r="43" spans="2:10">
      <c r="B43" s="70" t="s">
        <v>837</v>
      </c>
      <c r="C43" s="26"/>
      <c r="D43" s="27"/>
      <c r="E43" s="26"/>
      <c r="F43" s="26"/>
      <c r="G43" s="6"/>
      <c r="H43" s="29"/>
      <c r="I43" s="76">
        <f>SUM(I41:I42)</f>
        <v>56115.4</v>
      </c>
      <c r="J43" s="26"/>
    </row>
    <row r="44" spans="2:10">
      <c r="B44" s="210" t="s">
        <v>838</v>
      </c>
      <c r="C44" s="228" t="s">
        <v>779</v>
      </c>
      <c r="D44" s="293">
        <v>45852</v>
      </c>
      <c r="E44" s="228" t="s">
        <v>114</v>
      </c>
      <c r="F44" s="228" t="s">
        <v>185</v>
      </c>
      <c r="G44" s="80" t="s">
        <v>839</v>
      </c>
      <c r="H44" s="293">
        <v>46056</v>
      </c>
      <c r="I44" s="294">
        <v>106757.73</v>
      </c>
      <c r="J44" s="212" t="s">
        <v>98</v>
      </c>
    </row>
    <row r="45" spans="2:10">
      <c r="B45" s="215" t="s">
        <v>838</v>
      </c>
      <c r="C45" s="229" t="s">
        <v>779</v>
      </c>
      <c r="D45" s="295">
        <v>45913</v>
      </c>
      <c r="E45" s="229" t="s">
        <v>114</v>
      </c>
      <c r="F45" s="229" t="s">
        <v>185</v>
      </c>
      <c r="G45" s="89" t="s">
        <v>840</v>
      </c>
      <c r="H45" s="295">
        <v>46064</v>
      </c>
      <c r="I45" s="296">
        <v>185563.8</v>
      </c>
      <c r="J45" s="217"/>
    </row>
    <row r="46" spans="2:10">
      <c r="B46" s="19" t="s">
        <v>841</v>
      </c>
      <c r="C46" s="21"/>
      <c r="D46" s="22"/>
      <c r="E46" s="21"/>
      <c r="F46" s="21"/>
      <c r="G46" s="23"/>
      <c r="H46" s="22"/>
      <c r="I46" s="297">
        <f>SUM(I44:I45)</f>
        <v>292321.53</v>
      </c>
      <c r="J46" s="25"/>
    </row>
    <row r="47" spans="2:10">
      <c r="B47" s="230" t="s">
        <v>842</v>
      </c>
      <c r="C47" s="298" t="s">
        <v>779</v>
      </c>
      <c r="D47" s="299">
        <v>45933</v>
      </c>
      <c r="E47" s="298" t="s">
        <v>96</v>
      </c>
      <c r="F47" s="298" t="s">
        <v>115</v>
      </c>
      <c r="G47" s="300" t="s">
        <v>843</v>
      </c>
      <c r="H47" s="299">
        <v>46101</v>
      </c>
      <c r="I47" s="301">
        <v>114061.24</v>
      </c>
      <c r="J47" s="302" t="s">
        <v>98</v>
      </c>
    </row>
    <row r="48" spans="2:10">
      <c r="B48" s="303" t="s">
        <v>842</v>
      </c>
      <c r="C48" s="304" t="s">
        <v>779</v>
      </c>
      <c r="D48" s="305">
        <v>45960</v>
      </c>
      <c r="E48" s="304" t="s">
        <v>96</v>
      </c>
      <c r="F48" s="304" t="s">
        <v>115</v>
      </c>
      <c r="G48" s="306" t="s">
        <v>844</v>
      </c>
      <c r="H48" s="305">
        <v>46111</v>
      </c>
      <c r="I48" s="307">
        <v>130000</v>
      </c>
      <c r="J48" s="308" t="s">
        <v>98</v>
      </c>
    </row>
    <row r="49" spans="2:10">
      <c r="B49" s="303" t="s">
        <v>842</v>
      </c>
      <c r="C49" s="304" t="s">
        <v>779</v>
      </c>
      <c r="D49" s="305">
        <v>45944</v>
      </c>
      <c r="E49" s="304" t="s">
        <v>96</v>
      </c>
      <c r="F49" s="304" t="s">
        <v>115</v>
      </c>
      <c r="G49" s="306" t="s">
        <v>845</v>
      </c>
      <c r="H49" s="305">
        <v>46132</v>
      </c>
      <c r="I49" s="307">
        <v>120317.82</v>
      </c>
      <c r="J49" s="308" t="s">
        <v>98</v>
      </c>
    </row>
    <row r="50" spans="2:10">
      <c r="B50" s="232" t="s">
        <v>842</v>
      </c>
      <c r="C50" s="309" t="s">
        <v>779</v>
      </c>
      <c r="D50" s="310">
        <v>45992</v>
      </c>
      <c r="E50" s="309" t="s">
        <v>96</v>
      </c>
      <c r="F50" s="309" t="s">
        <v>115</v>
      </c>
      <c r="G50" s="311" t="s">
        <v>846</v>
      </c>
      <c r="H50" s="310">
        <v>46162</v>
      </c>
      <c r="I50" s="312">
        <v>60725.15</v>
      </c>
      <c r="J50" s="313" t="s">
        <v>98</v>
      </c>
    </row>
    <row r="51" spans="2:10">
      <c r="B51" s="19" t="s">
        <v>847</v>
      </c>
      <c r="C51" s="21"/>
      <c r="D51" s="22"/>
      <c r="E51" s="21"/>
      <c r="F51" s="21"/>
      <c r="G51" s="23"/>
      <c r="H51" s="22"/>
      <c r="I51" s="297">
        <f>SUM(I47:I50)</f>
        <v>425104.21</v>
      </c>
      <c r="J51" s="314" t="s">
        <v>98</v>
      </c>
    </row>
    <row r="52" spans="2:10">
      <c r="B52" s="230" t="s">
        <v>848</v>
      </c>
      <c r="C52" s="228" t="s">
        <v>779</v>
      </c>
      <c r="D52" s="293">
        <v>45940</v>
      </c>
      <c r="E52" s="228" t="s">
        <v>96</v>
      </c>
      <c r="F52" s="228" t="s">
        <v>115</v>
      </c>
      <c r="G52" s="80" t="s">
        <v>619</v>
      </c>
      <c r="H52" s="293">
        <v>46081</v>
      </c>
      <c r="I52" s="301">
        <v>23249.61</v>
      </c>
      <c r="J52" s="212" t="s">
        <v>98</v>
      </c>
    </row>
    <row r="53" spans="2:10">
      <c r="B53" s="303" t="s">
        <v>848</v>
      </c>
      <c r="C53" s="21" t="s">
        <v>779</v>
      </c>
      <c r="D53" s="22">
        <v>45940</v>
      </c>
      <c r="E53" s="21" t="s">
        <v>96</v>
      </c>
      <c r="F53" s="21" t="s">
        <v>115</v>
      </c>
      <c r="G53" s="23" t="s">
        <v>849</v>
      </c>
      <c r="H53" s="22">
        <v>46142</v>
      </c>
      <c r="I53" s="307">
        <v>23249.61</v>
      </c>
      <c r="J53" s="214" t="s">
        <v>850</v>
      </c>
    </row>
    <row r="54" spans="2:10">
      <c r="B54" s="303" t="s">
        <v>848</v>
      </c>
      <c r="C54" s="21" t="s">
        <v>779</v>
      </c>
      <c r="D54" s="22">
        <v>46002</v>
      </c>
      <c r="E54" s="21" t="s">
        <v>96</v>
      </c>
      <c r="F54" s="21" t="s">
        <v>115</v>
      </c>
      <c r="G54" s="23" t="s">
        <v>851</v>
      </c>
      <c r="H54" s="22">
        <v>46172</v>
      </c>
      <c r="I54" s="307">
        <v>21050</v>
      </c>
      <c r="J54" s="214" t="s">
        <v>98</v>
      </c>
    </row>
    <row r="55" spans="2:10">
      <c r="B55" s="232" t="s">
        <v>848</v>
      </c>
      <c r="C55" s="229" t="s">
        <v>779</v>
      </c>
      <c r="D55" s="295">
        <v>46002</v>
      </c>
      <c r="E55" s="229" t="s">
        <v>96</v>
      </c>
      <c r="F55" s="229" t="s">
        <v>115</v>
      </c>
      <c r="G55" s="89" t="s">
        <v>852</v>
      </c>
      <c r="H55" s="295">
        <v>46203</v>
      </c>
      <c r="I55" s="312">
        <v>21050</v>
      </c>
      <c r="J55" s="217" t="s">
        <v>98</v>
      </c>
    </row>
    <row r="56" spans="2:10">
      <c r="B56" s="19" t="s">
        <v>853</v>
      </c>
      <c r="C56" s="21"/>
      <c r="D56" s="22"/>
      <c r="E56" s="21"/>
      <c r="F56" s="21"/>
      <c r="G56" s="23"/>
      <c r="H56" s="22"/>
      <c r="I56" s="297">
        <f>SUM(I52:I55)</f>
        <v>88599.22</v>
      </c>
      <c r="J56" s="25"/>
    </row>
    <row r="57" spans="2:10">
      <c r="B57" s="58" t="s">
        <v>854</v>
      </c>
      <c r="C57" s="228" t="s">
        <v>779</v>
      </c>
      <c r="D57" s="293">
        <v>46129</v>
      </c>
      <c r="E57" s="228" t="s">
        <v>96</v>
      </c>
      <c r="F57" s="228" t="s">
        <v>185</v>
      </c>
      <c r="G57" s="80" t="s">
        <v>754</v>
      </c>
      <c r="H57" s="293">
        <v>46210</v>
      </c>
      <c r="I57" s="315">
        <v>59022.62</v>
      </c>
      <c r="J57" s="212" t="s">
        <v>98</v>
      </c>
    </row>
    <row r="58" spans="2:10">
      <c r="B58" s="316" t="s">
        <v>854</v>
      </c>
      <c r="C58" s="317" t="s">
        <v>779</v>
      </c>
      <c r="D58" s="318">
        <v>46129</v>
      </c>
      <c r="E58" s="317" t="s">
        <v>96</v>
      </c>
      <c r="F58" s="317" t="s">
        <v>185</v>
      </c>
      <c r="G58" s="319" t="s">
        <v>855</v>
      </c>
      <c r="H58" s="318">
        <v>46227</v>
      </c>
      <c r="I58" s="320">
        <v>45570</v>
      </c>
      <c r="J58" s="321" t="s">
        <v>98</v>
      </c>
    </row>
    <row r="59" spans="2:10">
      <c r="B59" s="19" t="s">
        <v>856</v>
      </c>
      <c r="C59" s="21"/>
      <c r="D59" s="22"/>
      <c r="E59" s="21"/>
      <c r="F59" s="21"/>
      <c r="G59" s="23"/>
      <c r="H59" s="22"/>
      <c r="I59" s="297">
        <f>SUM(I57:I58)</f>
        <v>104592.62</v>
      </c>
      <c r="J59" s="25"/>
    </row>
    <row r="60" spans="2:10">
      <c r="B60" s="70"/>
      <c r="C60" s="26"/>
      <c r="D60" s="27"/>
      <c r="E60" s="26"/>
      <c r="F60" s="26"/>
      <c r="G60" s="6"/>
      <c r="H60" s="29"/>
      <c r="I60" s="76"/>
      <c r="J60" s="26"/>
    </row>
    <row r="61" spans="2:10">
      <c r="B61" s="70"/>
      <c r="C61" s="26"/>
      <c r="D61" s="27"/>
      <c r="E61" s="26"/>
      <c r="F61" s="26"/>
      <c r="G61" s="6"/>
      <c r="H61" s="29"/>
      <c r="I61" s="76"/>
      <c r="J61" s="26"/>
    </row>
    <row r="62" spans="2:10">
      <c r="B62" s="322"/>
      <c r="C62" s="26"/>
      <c r="D62" s="27"/>
      <c r="E62" s="26"/>
      <c r="F62" s="26"/>
      <c r="G62" s="6"/>
      <c r="H62" s="29"/>
      <c r="I62" s="31"/>
      <c r="J62" s="26"/>
    </row>
    <row r="63" ht="18.35" spans="2:10">
      <c r="B63" s="111"/>
      <c r="C63" s="26"/>
      <c r="D63" s="323"/>
      <c r="E63" s="323"/>
      <c r="F63" s="323"/>
      <c r="G63" s="323"/>
      <c r="H63" s="323"/>
    </row>
    <row r="64" ht="23.95" spans="2:10">
      <c r="B64" s="111"/>
      <c r="C64" s="26"/>
      <c r="D64" s="32" t="s">
        <v>857</v>
      </c>
      <c r="E64" s="33"/>
      <c r="F64" s="33"/>
      <c r="G64" s="33"/>
      <c r="H64" s="34"/>
      <c r="I64" s="35">
        <f>I7+I25+I26+I30+I29+I40+I43+I46+I51+I56+I59</f>
        <v>2135390.96</v>
      </c>
      <c r="J64" s="36"/>
    </row>
    <row r="65" ht="13.5" customHeight="1" spans="2:10">
      <c r="B65" s="111"/>
      <c r="C65" s="26"/>
      <c r="D65" s="27"/>
      <c r="E65" s="26"/>
      <c r="F65" s="26"/>
      <c r="G65" s="6"/>
      <c r="H65" s="29"/>
      <c r="I65" s="30"/>
      <c r="J65" s="26"/>
    </row>
    <row r="66" ht="16.5" customHeight="1" spans="2:10">
      <c r="B66" s="111"/>
      <c r="C66" s="26"/>
      <c r="D66" s="324" t="s">
        <v>858</v>
      </c>
      <c r="E66" s="325"/>
      <c r="F66" s="325"/>
      <c r="G66" s="325"/>
      <c r="H66" s="325"/>
      <c r="I66" s="326">
        <v>2160075.96</v>
      </c>
      <c r="J66" s="41">
        <f>($I$64-I66)/I66</f>
        <v>-0.0114278388617408</v>
      </c>
    </row>
    <row r="67" ht="19.5" customHeight="1" spans="2:10">
      <c r="B67" s="111"/>
      <c r="C67" s="26"/>
      <c r="D67" s="327" t="s">
        <v>859</v>
      </c>
      <c r="E67" s="328"/>
      <c r="F67" s="328"/>
      <c r="G67" s="328"/>
      <c r="H67" s="328"/>
      <c r="I67" s="329">
        <v>2269002.08</v>
      </c>
      <c r="J67" s="160">
        <f>($I$64-I67)/I67</f>
        <v>-0.0588854109820825</v>
      </c>
    </row>
    <row r="68" ht="21.75" customHeight="1" spans="2:10">
      <c r="B68" s="111"/>
      <c r="C68" s="26"/>
      <c r="D68" s="330" t="s">
        <v>860</v>
      </c>
      <c r="E68" s="331"/>
      <c r="F68" s="332"/>
      <c r="G68" s="332"/>
      <c r="H68" s="331"/>
      <c r="I68" s="333">
        <v>2199451.1</v>
      </c>
      <c r="J68" s="334">
        <f>($I$64-I68)/I68</f>
        <v>-0.0291255122698568</v>
      </c>
    </row>
    <row r="69" spans="2:10">
      <c r="B69" s="111"/>
      <c r="C69" s="26"/>
      <c r="D69" s="335"/>
      <c r="E69" s="335"/>
      <c r="H69" s="335"/>
      <c r="I69" s="336"/>
      <c r="J69" s="337"/>
    </row>
    <row r="70" spans="2:10">
      <c r="B70" s="338"/>
      <c r="C70" s="26"/>
      <c r="D70" s="27"/>
      <c r="E70" s="26"/>
      <c r="F70" s="26"/>
      <c r="G70" s="6"/>
      <c r="H70" s="29"/>
      <c r="I70" s="31"/>
      <c r="J70" s="26"/>
    </row>
    <row r="71" spans="2:10">
      <c r="B71" s="26"/>
      <c r="C71" s="128"/>
      <c r="D71" s="129" t="s">
        <v>510</v>
      </c>
      <c r="E71" s="130"/>
      <c r="F71" s="131"/>
      <c r="G71" s="132"/>
      <c r="H71" s="29"/>
      <c r="I71" s="30"/>
      <c r="J71" s="26"/>
    </row>
    <row r="72" spans="2:10">
      <c r="B72" s="26"/>
      <c r="C72" s="26"/>
      <c r="D72" s="27"/>
      <c r="E72" s="26"/>
      <c r="F72" s="26"/>
      <c r="G72" s="6"/>
      <c r="H72" s="29"/>
      <c r="I72" s="30"/>
      <c r="J72" s="26"/>
    </row>
    <row r="73" spans="2:10">
      <c r="E73" s="48" t="s">
        <v>857</v>
      </c>
      <c r="F73" s="48"/>
      <c r="G73" s="48"/>
    </row>
    <row r="74" spans="2:10">
      <c r="D74" s="53">
        <v>45456</v>
      </c>
      <c r="E74" s="339">
        <v>549022.52</v>
      </c>
      <c r="F74" s="340"/>
      <c r="G74" s="50"/>
    </row>
    <row r="75" spans="2:10">
      <c r="D75" s="53">
        <v>45463</v>
      </c>
      <c r="E75" s="339">
        <v>591883.18</v>
      </c>
      <c r="F75" s="340"/>
      <c r="G75" s="50"/>
    </row>
    <row r="76" spans="2:10">
      <c r="D76" s="53">
        <v>45470</v>
      </c>
      <c r="E76" s="339">
        <v>637762.93</v>
      </c>
      <c r="F76" s="340"/>
      <c r="G76" s="50"/>
    </row>
    <row r="77" spans="2:10">
      <c r="D77" s="53">
        <v>45477</v>
      </c>
      <c r="E77" s="339">
        <v>633803.24</v>
      </c>
      <c r="F77" s="340"/>
      <c r="G77" s="50"/>
    </row>
    <row r="78" spans="2:10">
      <c r="D78" s="53">
        <v>45484</v>
      </c>
      <c r="E78" s="339">
        <v>768157.94</v>
      </c>
      <c r="F78" s="340"/>
      <c r="G78" s="50"/>
    </row>
    <row r="79" spans="2:10">
      <c r="D79" s="53">
        <v>45491</v>
      </c>
      <c r="E79" s="339">
        <v>669842</v>
      </c>
      <c r="F79" s="340"/>
      <c r="G79" s="50"/>
    </row>
    <row r="80" spans="2:10">
      <c r="D80" s="53">
        <v>45498</v>
      </c>
      <c r="E80" s="339">
        <v>669842</v>
      </c>
      <c r="F80" s="340"/>
      <c r="G80" s="50"/>
    </row>
    <row r="81" spans="4:7">
      <c r="D81" s="53">
        <v>45505</v>
      </c>
      <c r="E81" s="339">
        <v>553561.28</v>
      </c>
      <c r="F81" s="340"/>
      <c r="G81" s="50"/>
    </row>
    <row r="82" spans="4:7">
      <c r="D82" s="53">
        <v>45512</v>
      </c>
      <c r="E82" s="339">
        <v>633635.17</v>
      </c>
      <c r="F82" s="340"/>
      <c r="G82" s="50"/>
    </row>
    <row r="83" spans="4:7">
      <c r="D83" s="53">
        <v>45519</v>
      </c>
      <c r="E83" s="339">
        <v>564161.28</v>
      </c>
      <c r="F83" s="340"/>
      <c r="G83" s="50"/>
    </row>
    <row r="84" spans="4:7">
      <c r="D84" s="53">
        <v>45547</v>
      </c>
      <c r="E84" s="339">
        <v>646322.93</v>
      </c>
      <c r="F84" s="340"/>
      <c r="G84" s="50"/>
    </row>
    <row r="85" spans="4:7">
      <c r="D85" s="53">
        <v>45554</v>
      </c>
      <c r="E85" s="339">
        <v>551242.21</v>
      </c>
      <c r="F85" s="340"/>
      <c r="G85" s="50"/>
    </row>
    <row r="86" spans="4:7">
      <c r="D86" s="53">
        <v>45561</v>
      </c>
      <c r="E86" s="339">
        <v>585081.21</v>
      </c>
      <c r="F86" s="340"/>
      <c r="G86" s="50"/>
    </row>
    <row r="87" spans="4:7">
      <c r="D87" s="53">
        <v>45568</v>
      </c>
      <c r="E87" s="339">
        <v>600082.21</v>
      </c>
      <c r="F87" s="340"/>
      <c r="G87" s="50"/>
    </row>
    <row r="88" spans="4:7">
      <c r="D88" s="341">
        <v>45575</v>
      </c>
      <c r="E88" s="339">
        <v>392917.51</v>
      </c>
      <c r="F88" s="340"/>
      <c r="G88" s="50"/>
    </row>
    <row r="89" spans="4:7">
      <c r="D89" s="53">
        <v>45582</v>
      </c>
      <c r="E89" s="339">
        <v>434370.09</v>
      </c>
      <c r="F89" s="340"/>
      <c r="G89" s="50"/>
    </row>
    <row r="90" spans="4:7">
      <c r="D90" s="341">
        <v>45589</v>
      </c>
      <c r="E90" s="339">
        <v>350642.67</v>
      </c>
      <c r="F90" s="340"/>
      <c r="G90" s="50"/>
    </row>
    <row r="91" spans="4:7">
      <c r="D91" s="53">
        <v>45596</v>
      </c>
      <c r="E91" s="339">
        <v>463227.58</v>
      </c>
      <c r="F91" s="340"/>
      <c r="G91" s="50"/>
    </row>
    <row r="92" spans="4:7">
      <c r="D92" s="53">
        <v>45603</v>
      </c>
      <c r="E92" s="339">
        <v>428345.7</v>
      </c>
      <c r="F92" s="340"/>
      <c r="G92" s="50"/>
    </row>
    <row r="93" spans="4:7">
      <c r="D93" s="53">
        <v>45610</v>
      </c>
      <c r="E93" s="339">
        <v>424065.7</v>
      </c>
      <c r="F93" s="340"/>
      <c r="G93" s="50"/>
    </row>
    <row r="94" spans="4:7">
      <c r="D94" s="53">
        <v>45617</v>
      </c>
      <c r="E94" s="339">
        <v>568231.7</v>
      </c>
      <c r="F94" s="340"/>
      <c r="G94" s="50"/>
    </row>
    <row r="95" spans="4:7">
      <c r="D95" s="53">
        <v>45624</v>
      </c>
      <c r="E95" s="339">
        <v>653977.09</v>
      </c>
      <c r="F95" s="340"/>
      <c r="G95" s="50"/>
    </row>
    <row r="96" spans="4:7">
      <c r="D96" s="53">
        <v>45631</v>
      </c>
      <c r="E96" s="339">
        <v>470910.97</v>
      </c>
      <c r="F96" s="340"/>
      <c r="G96" s="50"/>
    </row>
    <row r="97" spans="4:7">
      <c r="D97" s="53">
        <v>45638</v>
      </c>
      <c r="E97" s="339">
        <v>357876.7</v>
      </c>
      <c r="F97" s="340"/>
      <c r="G97" s="50"/>
    </row>
    <row r="98" spans="4:7">
      <c r="D98" s="53">
        <v>45645</v>
      </c>
      <c r="E98" s="339">
        <v>447246.93</v>
      </c>
      <c r="F98" s="340"/>
      <c r="G98" s="50"/>
    </row>
    <row r="99" spans="4:7">
      <c r="D99" s="53">
        <v>45652</v>
      </c>
      <c r="E99" s="339">
        <v>500392.93</v>
      </c>
      <c r="F99" s="340"/>
      <c r="G99" s="50"/>
    </row>
    <row r="100" spans="4:7">
      <c r="D100" s="53">
        <v>45659</v>
      </c>
      <c r="E100" s="339">
        <v>550692.06</v>
      </c>
      <c r="F100" s="340"/>
      <c r="G100" s="50"/>
    </row>
    <row r="101" spans="4:7">
      <c r="D101" s="53">
        <v>45666</v>
      </c>
      <c r="E101" s="339">
        <v>715769.48</v>
      </c>
      <c r="F101" s="340"/>
      <c r="G101" s="50"/>
    </row>
    <row r="102" spans="4:7">
      <c r="D102" s="53">
        <v>45673</v>
      </c>
      <c r="E102" s="339">
        <v>690069.48</v>
      </c>
      <c r="F102" s="340"/>
      <c r="G102" s="50"/>
    </row>
    <row r="103" spans="4:7">
      <c r="D103" s="53">
        <v>45680</v>
      </c>
      <c r="E103" s="339">
        <v>718509.48</v>
      </c>
      <c r="F103" s="340"/>
      <c r="G103" s="50"/>
    </row>
    <row r="104" spans="4:7">
      <c r="D104" s="53">
        <v>45687</v>
      </c>
      <c r="E104" s="339">
        <v>689378.32</v>
      </c>
      <c r="F104" s="340"/>
      <c r="G104" s="50"/>
    </row>
    <row r="105" spans="4:7">
      <c r="D105" s="53">
        <v>45694</v>
      </c>
      <c r="E105" s="339">
        <v>737560.32</v>
      </c>
      <c r="F105" s="340"/>
      <c r="G105" s="50"/>
    </row>
    <row r="106" spans="4:7">
      <c r="D106" s="53">
        <v>45701</v>
      </c>
      <c r="E106" s="339">
        <v>836522.09</v>
      </c>
      <c r="F106" s="340"/>
      <c r="G106" s="50"/>
    </row>
    <row r="107" spans="4:7">
      <c r="D107" s="53">
        <v>45708</v>
      </c>
      <c r="E107" s="339">
        <v>1019149.34</v>
      </c>
      <c r="F107" s="340"/>
      <c r="G107" s="50"/>
    </row>
    <row r="108" spans="4:7">
      <c r="D108" s="53">
        <v>45715</v>
      </c>
      <c r="E108" s="339">
        <v>951964.75</v>
      </c>
      <c r="F108" s="340"/>
      <c r="G108" s="50"/>
    </row>
    <row r="109" spans="4:7">
      <c r="D109" s="53">
        <v>45722</v>
      </c>
      <c r="E109" s="339">
        <v>1005380.75</v>
      </c>
      <c r="F109" s="340"/>
      <c r="G109" s="50"/>
    </row>
    <row r="110" spans="4:7">
      <c r="D110" s="53">
        <v>45730</v>
      </c>
      <c r="E110" s="339">
        <v>1063470.75</v>
      </c>
      <c r="F110" s="340"/>
      <c r="G110" s="50"/>
    </row>
    <row r="111" spans="4:7">
      <c r="D111" s="53">
        <v>45736</v>
      </c>
      <c r="E111" s="339">
        <v>1153889.72</v>
      </c>
      <c r="F111" s="340"/>
      <c r="G111" s="50"/>
    </row>
    <row r="112" spans="4:7">
      <c r="D112" s="53">
        <v>45742</v>
      </c>
      <c r="E112" s="339">
        <v>877555.57</v>
      </c>
      <c r="F112" s="340"/>
      <c r="G112" s="50"/>
    </row>
    <row r="113" spans="4:7">
      <c r="D113" s="49">
        <v>45750</v>
      </c>
      <c r="E113" s="339">
        <v>877555.57</v>
      </c>
      <c r="F113" s="340"/>
      <c r="G113" s="50"/>
    </row>
    <row r="114" spans="4:7">
      <c r="D114" s="49">
        <v>45757</v>
      </c>
      <c r="E114" s="339">
        <v>738478.51</v>
      </c>
      <c r="F114" s="340"/>
      <c r="G114" s="50"/>
    </row>
    <row r="115" spans="4:7">
      <c r="D115" s="49">
        <v>45764</v>
      </c>
      <c r="E115" s="339">
        <v>771804.15</v>
      </c>
      <c r="F115" s="340"/>
      <c r="G115" s="50"/>
    </row>
    <row r="116" spans="4:7">
      <c r="D116" s="49">
        <v>45771</v>
      </c>
      <c r="E116" s="339">
        <v>729980.15</v>
      </c>
      <c r="F116" s="340"/>
      <c r="G116" s="50"/>
    </row>
    <row r="117" spans="4:7">
      <c r="D117" s="49">
        <v>45779</v>
      </c>
      <c r="E117" s="339">
        <v>830394.9</v>
      </c>
      <c r="F117" s="340"/>
      <c r="G117" s="50"/>
    </row>
    <row r="118" spans="4:7">
      <c r="D118" s="49">
        <v>45792</v>
      </c>
      <c r="E118" s="339">
        <v>681793.15</v>
      </c>
      <c r="F118" s="340"/>
      <c r="G118" s="50"/>
    </row>
    <row r="119" spans="4:7">
      <c r="D119" s="49">
        <v>45799</v>
      </c>
      <c r="E119" s="339">
        <v>795123.15</v>
      </c>
      <c r="F119" s="340"/>
      <c r="G119" s="50"/>
    </row>
    <row r="120" spans="4:7">
      <c r="D120" s="49">
        <v>45806</v>
      </c>
      <c r="E120" s="339">
        <v>1071082.12</v>
      </c>
      <c r="F120" s="340"/>
      <c r="G120" s="50"/>
    </row>
    <row r="121" spans="4:7">
      <c r="D121" s="49">
        <v>45820</v>
      </c>
      <c r="E121" s="339">
        <v>1127959.16</v>
      </c>
      <c r="F121" s="340"/>
      <c r="G121" s="50"/>
    </row>
    <row r="122" spans="4:7">
      <c r="D122" s="49">
        <v>45827</v>
      </c>
      <c r="E122" s="339">
        <v>1367241.68</v>
      </c>
      <c r="F122" s="340"/>
      <c r="G122" s="50"/>
    </row>
    <row r="123" spans="4:7">
      <c r="D123" s="49">
        <v>45842</v>
      </c>
      <c r="E123" s="339">
        <v>1079109.39</v>
      </c>
      <c r="F123" s="340"/>
      <c r="G123" s="50"/>
    </row>
    <row r="124" spans="4:7">
      <c r="D124" s="342">
        <v>45848</v>
      </c>
      <c r="E124" s="339">
        <v>1032860.05</v>
      </c>
      <c r="F124" s="340"/>
      <c r="G124" s="50"/>
    </row>
    <row r="125" spans="4:7">
      <c r="D125" s="49">
        <v>45856</v>
      </c>
      <c r="E125" s="339">
        <v>1165527.18</v>
      </c>
      <c r="F125" s="340"/>
      <c r="G125" s="50"/>
    </row>
    <row r="126" spans="4:7">
      <c r="D126" s="53">
        <v>45863</v>
      </c>
      <c r="E126" s="339">
        <v>1323987.84</v>
      </c>
      <c r="F126" s="340"/>
      <c r="G126" s="50"/>
    </row>
    <row r="127" spans="4:7">
      <c r="D127" s="53">
        <v>45880</v>
      </c>
      <c r="E127" s="339">
        <v>1492163.06</v>
      </c>
      <c r="F127" s="340"/>
      <c r="G127" s="50"/>
    </row>
    <row r="128" spans="4:7">
      <c r="D128" s="53">
        <v>45891</v>
      </c>
      <c r="E128" s="339">
        <v>1368715.32</v>
      </c>
      <c r="F128" s="340"/>
      <c r="G128" s="50"/>
    </row>
    <row r="129" spans="4:7">
      <c r="D129" s="53">
        <v>45919</v>
      </c>
      <c r="E129" s="339">
        <v>1354304.34</v>
      </c>
      <c r="F129" s="340"/>
      <c r="G129" s="50"/>
    </row>
    <row r="130" spans="4:7">
      <c r="D130" s="53">
        <v>45925</v>
      </c>
      <c r="E130" s="339">
        <v>1386788.2</v>
      </c>
      <c r="F130" s="340"/>
      <c r="G130" s="50"/>
    </row>
    <row r="131" spans="4:7">
      <c r="D131" s="53">
        <v>45933</v>
      </c>
      <c r="E131" s="339">
        <v>1288438.2</v>
      </c>
      <c r="F131" s="340"/>
      <c r="G131" s="50"/>
    </row>
    <row r="132" spans="4:7">
      <c r="D132" s="53">
        <v>45940</v>
      </c>
      <c r="E132" s="339">
        <v>1031787.55</v>
      </c>
      <c r="F132" s="340"/>
      <c r="G132" s="50"/>
    </row>
    <row r="133" spans="4:7">
      <c r="D133" s="53">
        <v>45947</v>
      </c>
      <c r="E133" s="339">
        <v>842987.55</v>
      </c>
      <c r="F133" s="340"/>
      <c r="G133" s="50"/>
    </row>
    <row r="134" spans="4:7">
      <c r="D134" s="53">
        <v>45952</v>
      </c>
      <c r="E134" s="339">
        <v>842987.55</v>
      </c>
      <c r="F134" s="340"/>
      <c r="G134" s="50"/>
    </row>
    <row r="135" spans="4:7">
      <c r="D135" s="53">
        <v>45961</v>
      </c>
      <c r="E135" s="339">
        <v>967703.03</v>
      </c>
      <c r="F135" s="340"/>
      <c r="G135" s="50"/>
    </row>
    <row r="136" spans="4:7">
      <c r="D136" s="53">
        <v>45968</v>
      </c>
      <c r="E136" s="339">
        <v>967703.03</v>
      </c>
      <c r="F136" s="340"/>
      <c r="G136" s="50"/>
    </row>
    <row r="137" spans="4:7">
      <c r="D137" s="53">
        <v>45975</v>
      </c>
      <c r="E137" s="339">
        <v>745666.57</v>
      </c>
      <c r="F137" s="340"/>
      <c r="G137" s="50"/>
    </row>
    <row r="138" spans="4:7">
      <c r="D138" s="53">
        <v>45982</v>
      </c>
      <c r="E138" s="339">
        <v>673166.57</v>
      </c>
      <c r="F138" s="340"/>
      <c r="G138" s="50"/>
    </row>
    <row r="139" spans="4:7">
      <c r="D139" s="53">
        <v>45989</v>
      </c>
      <c r="E139" s="339">
        <v>616711.57</v>
      </c>
      <c r="F139" s="340"/>
      <c r="G139" s="50"/>
    </row>
    <row r="140" spans="4:7">
      <c r="D140" s="53">
        <v>45996</v>
      </c>
      <c r="E140" s="339">
        <v>829619.45</v>
      </c>
      <c r="F140" s="340"/>
      <c r="G140" s="50"/>
    </row>
    <row r="141" spans="4:7">
      <c r="D141" s="53">
        <v>46003</v>
      </c>
      <c r="E141" s="339">
        <v>966865.71</v>
      </c>
      <c r="F141" s="340"/>
      <c r="G141" s="50"/>
    </row>
    <row r="142" spans="4:7">
      <c r="D142" s="53">
        <v>46010</v>
      </c>
      <c r="E142" s="339">
        <v>1055391.91</v>
      </c>
      <c r="F142" s="340"/>
      <c r="G142" s="50"/>
    </row>
    <row r="143" spans="4:7">
      <c r="D143" s="53">
        <v>46017</v>
      </c>
      <c r="E143" s="339">
        <v>1260663.08</v>
      </c>
      <c r="F143" s="340"/>
      <c r="G143" s="50"/>
    </row>
    <row r="144" spans="4:7">
      <c r="D144" s="53">
        <v>46030</v>
      </c>
      <c r="E144" s="339">
        <v>1602845.35</v>
      </c>
      <c r="F144" s="340"/>
      <c r="G144" s="50"/>
    </row>
    <row r="145" spans="4:7">
      <c r="D145" s="53">
        <v>46042</v>
      </c>
      <c r="E145" s="339">
        <v>1484695.82</v>
      </c>
      <c r="F145" s="340"/>
      <c r="G145" s="50"/>
    </row>
    <row r="146" spans="4:7">
      <c r="D146" s="53">
        <v>46051</v>
      </c>
      <c r="E146" s="339">
        <v>1423448.99</v>
      </c>
      <c r="F146" s="340"/>
      <c r="G146" s="50"/>
    </row>
    <row r="147" spans="4:7">
      <c r="D147" s="53">
        <v>46066</v>
      </c>
      <c r="E147" s="343">
        <v>1774504.73</v>
      </c>
      <c r="F147" s="344"/>
      <c r="G147" s="345"/>
    </row>
    <row r="148" spans="4:7">
      <c r="D148" s="53">
        <v>46080</v>
      </c>
      <c r="E148" s="339">
        <v>1694693.98</v>
      </c>
      <c r="F148" s="340"/>
      <c r="G148" s="50"/>
    </row>
    <row r="149" spans="4:7">
      <c r="D149" s="53">
        <v>46087</v>
      </c>
      <c r="E149" s="339">
        <v>1634826.57</v>
      </c>
      <c r="F149" s="340"/>
      <c r="G149" s="50"/>
    </row>
    <row r="150" spans="4:7">
      <c r="D150" s="53">
        <v>46094</v>
      </c>
      <c r="E150" s="339">
        <v>1701075.67</v>
      </c>
      <c r="F150" s="340"/>
      <c r="G150" s="50"/>
    </row>
    <row r="151" spans="4:7">
      <c r="D151" s="53">
        <v>46114</v>
      </c>
      <c r="E151" s="339">
        <v>2430297.57</v>
      </c>
      <c r="F151" s="340"/>
      <c r="G151" s="50"/>
    </row>
    <row r="152" spans="4:7">
      <c r="D152" s="53">
        <v>46125</v>
      </c>
      <c r="E152" s="339">
        <v>1788502.42</v>
      </c>
      <c r="F152" s="340"/>
      <c r="G152" s="50"/>
    </row>
    <row r="153" spans="4:7">
      <c r="D153" s="53">
        <v>46136</v>
      </c>
      <c r="E153" s="339">
        <v>1747474.04</v>
      </c>
      <c r="F153" s="340"/>
      <c r="G153" s="50"/>
    </row>
    <row r="154" spans="4:7">
      <c r="D154" s="53">
        <v>46150</v>
      </c>
      <c r="E154" s="339">
        <v>2013365.7</v>
      </c>
      <c r="F154" s="340"/>
      <c r="G154" s="50"/>
    </row>
    <row r="155" spans="4:7">
      <c r="D155" s="53">
        <v>46157</v>
      </c>
      <c r="E155" s="339">
        <v>2037252.72</v>
      </c>
      <c r="F155" s="340"/>
      <c r="G155" s="50"/>
    </row>
    <row r="156" spans="4:7">
      <c r="D156" s="53">
        <v>46177</v>
      </c>
      <c r="E156" s="339">
        <v>2345877.18</v>
      </c>
      <c r="F156" s="340"/>
      <c r="G156" s="50"/>
    </row>
    <row r="157" spans="4:7">
      <c r="D157" s="53">
        <v>46185</v>
      </c>
      <c r="E157" s="339">
        <v>2440177.57</v>
      </c>
      <c r="F157" s="340"/>
      <c r="G157" s="50"/>
    </row>
    <row r="158" spans="4:7">
      <c r="D158" s="53">
        <v>46192</v>
      </c>
      <c r="E158" s="339">
        <v>2387251.36</v>
      </c>
      <c r="F158" s="340"/>
      <c r="G158" s="50"/>
    </row>
    <row r="159" spans="4:7">
      <c r="D159" s="53">
        <v>46199</v>
      </c>
      <c r="E159" s="339">
        <v>2366430.36</v>
      </c>
      <c r="F159" s="340"/>
      <c r="G159" s="50"/>
    </row>
    <row r="160" spans="4:7">
      <c r="D160" s="53">
        <v>46206</v>
      </c>
      <c r="E160" s="339">
        <v>2282128.49</v>
      </c>
      <c r="F160" s="340"/>
      <c r="G160" s="50"/>
    </row>
    <row r="161" spans="4:7">
      <c r="D161" s="53">
        <v>46213</v>
      </c>
      <c r="E161" s="339">
        <v>2199451.1</v>
      </c>
      <c r="F161" s="340"/>
      <c r="G161" s="50"/>
    </row>
    <row r="162" spans="4:7">
      <c r="D162" s="53">
        <v>46220</v>
      </c>
      <c r="E162" s="339">
        <v>2269002.08</v>
      </c>
      <c r="F162" s="340"/>
      <c r="G162" s="50"/>
    </row>
    <row r="163" spans="4:7">
      <c r="D163" s="53">
        <v>46227</v>
      </c>
      <c r="E163" s="339">
        <v>2160075.96</v>
      </c>
      <c r="F163" s="340"/>
      <c r="G163" s="50"/>
    </row>
    <row r="164" spans="4:7">
      <c r="D164" s="53">
        <v>46234</v>
      </c>
      <c r="E164" s="339">
        <v>2135390.96</v>
      </c>
      <c r="F164" s="340"/>
      <c r="G164" s="50"/>
    </row>
    <row r="165" spans="4:7">
      <c r="D165" s="5"/>
    </row>
    <row r="166" spans="4:7">
      <c r="D166" s="5"/>
    </row>
    <row r="167" spans="4:7">
      <c r="D167" s="5"/>
    </row>
    <row r="168" spans="4:7">
      <c r="D168" s="5"/>
    </row>
    <row r="169" spans="4:7">
      <c r="D169" s="5"/>
    </row>
    <row r="170" spans="4:7">
      <c r="D170" s="5"/>
    </row>
    <row r="171" spans="4:7">
      <c r="D171" s="5"/>
    </row>
    <row r="172" spans="4:7">
      <c r="D172" s="5"/>
    </row>
    <row r="173" spans="4:7">
      <c r="D173" s="5"/>
    </row>
    <row r="174" spans="4:7">
      <c r="D174" s="5"/>
    </row>
  </sheetData>
  <mergeCells count="98">
    <mergeCell ref="D3:H3"/>
    <mergeCell ref="D63:H63"/>
    <mergeCell ref="D64:H64"/>
    <mergeCell ref="I64:J64"/>
    <mergeCell ref="D66:H66"/>
    <mergeCell ref="D67:H67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</mergeCells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78"/>
  <sheetViews>
    <sheetView topLeftCell="A60" workbookViewId="0">
      <selection activeCell="G179" sqref="G179"/>
    </sheetView>
  </sheetViews>
  <sheetFormatPr defaultColWidth="11" defaultRowHeight="17.6"/>
  <cols>
    <col min="1" max="1" width="33.625" style="25" customWidth="1"/>
    <col min="2" max="2" width="5.125" style="25" customWidth="1"/>
    <col min="3" max="3" width="15.25" style="164" customWidth="1"/>
    <col min="4" max="4" width="3" style="25" customWidth="1"/>
    <col min="5" max="5" width="10.75" style="25" customWidth="1"/>
    <col min="6" max="6" width="5.875" style="25" customWidth="1"/>
    <col min="7" max="7" width="8.625" style="164" customWidth="1"/>
    <col min="8" max="8" width="12.375" style="165" customWidth="1"/>
    <col min="9" max="9" width="32.5" style="25" customWidth="1"/>
  </cols>
  <sheetData>
    <row r="2" ht="18.35"/>
    <row r="3" ht="18.35" spans="1:9">
      <c r="C3" s="166" t="s">
        <v>861</v>
      </c>
      <c r="D3" s="167"/>
      <c r="E3" s="167"/>
      <c r="F3" s="167"/>
      <c r="G3" s="168"/>
    </row>
    <row r="4" spans="1:9">
      <c r="F4" s="6"/>
    </row>
    <row r="5" ht="18.35" spans="1:9">
      <c r="F5" s="6"/>
    </row>
    <row r="6" spans="1:9">
      <c r="A6" s="169" t="s">
        <v>85</v>
      </c>
      <c r="B6" s="170" t="s">
        <v>86</v>
      </c>
      <c r="C6" s="171" t="s">
        <v>87</v>
      </c>
      <c r="D6" s="170" t="s">
        <v>88</v>
      </c>
      <c r="E6" s="170" t="s">
        <v>89</v>
      </c>
      <c r="F6" s="172" t="s">
        <v>90</v>
      </c>
      <c r="G6" s="173" t="s">
        <v>91</v>
      </c>
      <c r="H6" s="174" t="s">
        <v>92</v>
      </c>
      <c r="I6" s="175" t="s">
        <v>93</v>
      </c>
    </row>
    <row r="7" spans="1:9">
      <c r="A7" s="176" t="s">
        <v>862</v>
      </c>
      <c r="B7" s="177" t="s">
        <v>863</v>
      </c>
      <c r="C7" s="150">
        <v>40565</v>
      </c>
      <c r="D7" s="177" t="s">
        <v>114</v>
      </c>
      <c r="E7" s="177" t="s">
        <v>103</v>
      </c>
      <c r="F7" s="178" t="s">
        <v>864</v>
      </c>
      <c r="G7" s="179">
        <v>40846</v>
      </c>
      <c r="H7" s="180">
        <v>11634.84</v>
      </c>
      <c r="I7" s="152" t="s">
        <v>865</v>
      </c>
    </row>
    <row r="8" spans="1:9">
      <c r="A8" s="181" t="s">
        <v>866</v>
      </c>
      <c r="B8" s="177" t="s">
        <v>863</v>
      </c>
      <c r="C8" s="150">
        <v>40231</v>
      </c>
      <c r="D8" s="177" t="s">
        <v>96</v>
      </c>
      <c r="E8" s="177" t="s">
        <v>106</v>
      </c>
      <c r="F8" s="178" t="s">
        <v>867</v>
      </c>
      <c r="G8" s="179">
        <v>40877</v>
      </c>
      <c r="H8" s="180">
        <v>500</v>
      </c>
      <c r="I8" s="152" t="s">
        <v>868</v>
      </c>
    </row>
    <row r="9" spans="1:9">
      <c r="A9" s="182" t="s">
        <v>869</v>
      </c>
      <c r="B9" s="25" t="s">
        <v>863</v>
      </c>
      <c r="C9" s="22">
        <v>40929</v>
      </c>
      <c r="D9" s="25" t="s">
        <v>96</v>
      </c>
      <c r="E9" s="25" t="s">
        <v>115</v>
      </c>
      <c r="F9" s="183">
        <v>5371</v>
      </c>
      <c r="G9" s="184">
        <v>41039</v>
      </c>
      <c r="H9" s="185">
        <v>49028.08</v>
      </c>
      <c r="I9" s="186" t="s">
        <v>870</v>
      </c>
    </row>
    <row r="10" spans="1:9">
      <c r="A10" s="182" t="s">
        <v>869</v>
      </c>
      <c r="B10" s="25" t="s">
        <v>863</v>
      </c>
      <c r="C10" s="22">
        <v>40929</v>
      </c>
      <c r="D10" s="25" t="s">
        <v>96</v>
      </c>
      <c r="E10" s="25" t="s">
        <v>115</v>
      </c>
      <c r="F10" s="183">
        <v>5369</v>
      </c>
      <c r="G10" s="187">
        <v>41151</v>
      </c>
      <c r="H10" s="185">
        <v>156054.83</v>
      </c>
      <c r="I10" s="186" t="s">
        <v>98</v>
      </c>
    </row>
    <row r="11" spans="1:9">
      <c r="A11" s="182" t="s">
        <v>869</v>
      </c>
      <c r="B11" s="25" t="s">
        <v>863</v>
      </c>
      <c r="C11" s="22">
        <v>40971</v>
      </c>
      <c r="D11" s="25" t="s">
        <v>96</v>
      </c>
      <c r="E11" s="25" t="s">
        <v>115</v>
      </c>
      <c r="F11" s="183">
        <v>5373</v>
      </c>
      <c r="G11" s="187">
        <v>41162</v>
      </c>
      <c r="H11" s="185">
        <v>81000</v>
      </c>
      <c r="I11" s="186" t="s">
        <v>98</v>
      </c>
    </row>
    <row r="12" spans="1:9">
      <c r="A12" s="182" t="s">
        <v>869</v>
      </c>
      <c r="B12" s="25" t="s">
        <v>863</v>
      </c>
      <c r="C12" s="22">
        <v>40971</v>
      </c>
      <c r="D12" s="25" t="s">
        <v>96</v>
      </c>
      <c r="E12" s="25" t="s">
        <v>115</v>
      </c>
      <c r="F12" s="183">
        <v>5374</v>
      </c>
      <c r="G12" s="187">
        <v>41172</v>
      </c>
      <c r="H12" s="185">
        <v>81100</v>
      </c>
      <c r="I12" s="186" t="s">
        <v>98</v>
      </c>
    </row>
    <row r="13" spans="1:9">
      <c r="A13" s="182" t="s">
        <v>869</v>
      </c>
      <c r="B13" s="25" t="s">
        <v>863</v>
      </c>
      <c r="C13" s="22">
        <v>40981</v>
      </c>
      <c r="D13" s="25" t="s">
        <v>96</v>
      </c>
      <c r="E13" s="25" t="s">
        <v>115</v>
      </c>
      <c r="F13" s="183">
        <v>5375</v>
      </c>
      <c r="G13" s="187">
        <v>41182</v>
      </c>
      <c r="H13" s="185">
        <v>81050</v>
      </c>
      <c r="I13" s="186" t="s">
        <v>98</v>
      </c>
    </row>
    <row r="14" spans="1:9">
      <c r="A14" s="182" t="s">
        <v>869</v>
      </c>
      <c r="B14" s="25" t="s">
        <v>863</v>
      </c>
      <c r="C14" s="22">
        <v>40981</v>
      </c>
      <c r="D14" s="25" t="s">
        <v>96</v>
      </c>
      <c r="E14" s="25" t="s">
        <v>115</v>
      </c>
      <c r="F14" s="183">
        <v>5376</v>
      </c>
      <c r="G14" s="187">
        <v>41192</v>
      </c>
      <c r="H14" s="185">
        <v>81200</v>
      </c>
      <c r="I14" s="186" t="s">
        <v>98</v>
      </c>
    </row>
    <row r="15" spans="1:9">
      <c r="A15" s="182" t="s">
        <v>869</v>
      </c>
      <c r="B15" s="25" t="s">
        <v>863</v>
      </c>
      <c r="C15" s="22">
        <v>41017</v>
      </c>
      <c r="D15" s="25" t="s">
        <v>96</v>
      </c>
      <c r="E15" s="25" t="s">
        <v>115</v>
      </c>
      <c r="F15" s="183">
        <v>5377</v>
      </c>
      <c r="G15" s="187">
        <v>41202</v>
      </c>
      <c r="H15" s="185">
        <v>81400</v>
      </c>
      <c r="I15" s="186" t="s">
        <v>98</v>
      </c>
    </row>
    <row r="16" spans="1:9">
      <c r="A16" s="182" t="s">
        <v>869</v>
      </c>
      <c r="B16" s="25" t="s">
        <v>863</v>
      </c>
      <c r="C16" s="22">
        <v>41017</v>
      </c>
      <c r="D16" s="25" t="s">
        <v>96</v>
      </c>
      <c r="E16" s="25" t="s">
        <v>115</v>
      </c>
      <c r="F16" s="183">
        <v>5378</v>
      </c>
      <c r="G16" s="187">
        <v>41213</v>
      </c>
      <c r="H16" s="185">
        <v>81300</v>
      </c>
      <c r="I16" s="186" t="s">
        <v>98</v>
      </c>
    </row>
    <row r="17" spans="1:9">
      <c r="A17" s="182" t="s">
        <v>869</v>
      </c>
      <c r="B17" s="25" t="s">
        <v>863</v>
      </c>
      <c r="C17" s="22">
        <v>41017</v>
      </c>
      <c r="D17" s="25" t="s">
        <v>96</v>
      </c>
      <c r="E17" s="25" t="s">
        <v>115</v>
      </c>
      <c r="F17" s="183">
        <v>5380</v>
      </c>
      <c r="G17" s="187">
        <v>41223</v>
      </c>
      <c r="H17" s="185">
        <v>81500</v>
      </c>
      <c r="I17" s="186" t="s">
        <v>98</v>
      </c>
    </row>
    <row r="18" spans="1:9">
      <c r="A18" s="182" t="s">
        <v>869</v>
      </c>
      <c r="B18" s="25" t="s">
        <v>863</v>
      </c>
      <c r="C18" s="22">
        <v>41036</v>
      </c>
      <c r="D18" s="25" t="s">
        <v>96</v>
      </c>
      <c r="E18" s="25" t="s">
        <v>115</v>
      </c>
      <c r="F18" s="183">
        <v>5382</v>
      </c>
      <c r="G18" s="187">
        <v>41233</v>
      </c>
      <c r="H18" s="185">
        <v>81060</v>
      </c>
      <c r="I18" s="186" t="s">
        <v>98</v>
      </c>
    </row>
    <row r="19" spans="1:9">
      <c r="A19" s="182" t="s">
        <v>869</v>
      </c>
      <c r="B19" s="25" t="s">
        <v>863</v>
      </c>
      <c r="C19" s="164">
        <v>41083</v>
      </c>
      <c r="D19" s="25" t="s">
        <v>96</v>
      </c>
      <c r="E19" s="25" t="s">
        <v>115</v>
      </c>
      <c r="F19" s="183">
        <v>5381</v>
      </c>
      <c r="G19" s="187">
        <v>41243</v>
      </c>
      <c r="H19" s="185">
        <v>79712.79</v>
      </c>
      <c r="I19" s="186" t="s">
        <v>98</v>
      </c>
    </row>
    <row r="20" spans="1:9">
      <c r="A20" s="182" t="s">
        <v>869</v>
      </c>
      <c r="B20" s="25" t="s">
        <v>863</v>
      </c>
      <c r="C20" s="164">
        <v>41129</v>
      </c>
      <c r="D20" s="25" t="s">
        <v>96</v>
      </c>
      <c r="E20" s="25" t="s">
        <v>115</v>
      </c>
      <c r="F20" s="183">
        <v>7771</v>
      </c>
      <c r="G20" s="187">
        <v>41375</v>
      </c>
      <c r="H20" s="185">
        <v>165543.13</v>
      </c>
      <c r="I20" s="186" t="s">
        <v>871</v>
      </c>
    </row>
    <row r="21" spans="1:9">
      <c r="A21" s="188" t="s">
        <v>869</v>
      </c>
      <c r="B21" s="189" t="s">
        <v>863</v>
      </c>
      <c r="C21" s="190">
        <v>41201</v>
      </c>
      <c r="D21" s="189" t="s">
        <v>96</v>
      </c>
      <c r="E21" s="189" t="s">
        <v>115</v>
      </c>
      <c r="F21" s="191">
        <v>7772</v>
      </c>
      <c r="G21" s="192">
        <v>41379</v>
      </c>
      <c r="H21" s="193">
        <v>234058.03</v>
      </c>
      <c r="I21" s="194" t="s">
        <v>871</v>
      </c>
    </row>
    <row r="22" spans="1:9">
      <c r="A22" s="195" t="s">
        <v>872</v>
      </c>
      <c r="F22" s="183"/>
      <c r="G22" s="187"/>
      <c r="H22" s="196">
        <f>SUM(H9:H21)</f>
        <v>1334006.86</v>
      </c>
      <c r="I22" s="197"/>
    </row>
    <row r="23" spans="1:9">
      <c r="A23" s="198" t="s">
        <v>873</v>
      </c>
      <c r="B23" s="199" t="s">
        <v>863</v>
      </c>
      <c r="C23" s="200">
        <v>43158</v>
      </c>
      <c r="D23" s="199" t="s">
        <v>96</v>
      </c>
      <c r="E23" s="199" t="s">
        <v>115</v>
      </c>
      <c r="F23" s="201">
        <v>9864</v>
      </c>
      <c r="G23" s="200">
        <v>43342</v>
      </c>
      <c r="H23" s="202">
        <v>5000</v>
      </c>
      <c r="I23" s="203" t="s">
        <v>874</v>
      </c>
    </row>
    <row r="24" spans="1:9">
      <c r="A24" s="204" t="s">
        <v>873</v>
      </c>
      <c r="B24" s="25" t="s">
        <v>863</v>
      </c>
      <c r="C24" s="164">
        <v>43167</v>
      </c>
      <c r="D24" s="25" t="s">
        <v>96</v>
      </c>
      <c r="E24" s="25" t="s">
        <v>115</v>
      </c>
      <c r="F24" s="183">
        <v>9866</v>
      </c>
      <c r="G24" s="164">
        <v>43373</v>
      </c>
      <c r="H24" s="185">
        <v>5000</v>
      </c>
      <c r="I24" s="186" t="s">
        <v>874</v>
      </c>
    </row>
    <row r="25" spans="1:9">
      <c r="A25" s="205" t="s">
        <v>873</v>
      </c>
      <c r="B25" s="189" t="s">
        <v>863</v>
      </c>
      <c r="C25" s="190">
        <v>43167</v>
      </c>
      <c r="D25" s="189" t="s">
        <v>96</v>
      </c>
      <c r="E25" s="189" t="s">
        <v>115</v>
      </c>
      <c r="F25" s="191">
        <v>9865</v>
      </c>
      <c r="G25" s="190">
        <v>43358</v>
      </c>
      <c r="H25" s="193">
        <v>5000</v>
      </c>
      <c r="I25" s="194" t="s">
        <v>874</v>
      </c>
    </row>
    <row r="26" spans="1:9">
      <c r="A26" s="206" t="s">
        <v>875</v>
      </c>
      <c r="F26" s="183"/>
      <c r="H26" s="196">
        <f>SUM(H23:H25)</f>
        <v>15000</v>
      </c>
      <c r="I26" s="197"/>
    </row>
    <row r="27" spans="1:9">
      <c r="A27" s="207" t="s">
        <v>876</v>
      </c>
      <c r="B27" s="177" t="s">
        <v>863</v>
      </c>
      <c r="C27" s="179">
        <v>43820</v>
      </c>
      <c r="D27" s="177" t="s">
        <v>114</v>
      </c>
      <c r="E27" s="177" t="s">
        <v>119</v>
      </c>
      <c r="F27" s="177">
        <v>6477</v>
      </c>
      <c r="G27" s="179">
        <v>44502</v>
      </c>
      <c r="H27" s="208">
        <v>26348.89</v>
      </c>
      <c r="I27" s="152" t="s">
        <v>877</v>
      </c>
    </row>
    <row r="28" spans="1:9">
      <c r="A28" s="207" t="s">
        <v>878</v>
      </c>
      <c r="B28" s="177" t="s">
        <v>863</v>
      </c>
      <c r="C28" s="179">
        <v>43227</v>
      </c>
      <c r="D28" s="177" t="s">
        <v>114</v>
      </c>
      <c r="E28" s="177" t="s">
        <v>106</v>
      </c>
      <c r="F28" s="177">
        <v>1844</v>
      </c>
      <c r="G28" s="179">
        <v>43845</v>
      </c>
      <c r="H28" s="209">
        <v>813.7</v>
      </c>
      <c r="I28" s="152" t="s">
        <v>98</v>
      </c>
    </row>
    <row r="29" spans="1:9">
      <c r="A29" s="207" t="s">
        <v>879</v>
      </c>
      <c r="B29" s="177" t="s">
        <v>863</v>
      </c>
      <c r="C29" s="179">
        <v>43484</v>
      </c>
      <c r="D29" s="177" t="s">
        <v>96</v>
      </c>
      <c r="E29" s="177" t="s">
        <v>185</v>
      </c>
      <c r="F29" s="177">
        <v>2681</v>
      </c>
      <c r="G29" s="179">
        <v>43905</v>
      </c>
      <c r="H29" s="209">
        <v>4567.99</v>
      </c>
      <c r="I29" s="152" t="s">
        <v>880</v>
      </c>
    </row>
    <row r="30" spans="1:9">
      <c r="A30" s="210" t="s">
        <v>881</v>
      </c>
      <c r="B30" s="199" t="s">
        <v>863</v>
      </c>
      <c r="C30" s="200">
        <v>43383</v>
      </c>
      <c r="D30" s="199" t="s">
        <v>96</v>
      </c>
      <c r="E30" s="199" t="s">
        <v>185</v>
      </c>
      <c r="F30" s="199">
        <v>4958</v>
      </c>
      <c r="G30" s="200">
        <v>44134</v>
      </c>
      <c r="H30" s="211">
        <v>10000</v>
      </c>
      <c r="I30" s="212" t="s">
        <v>98</v>
      </c>
    </row>
    <row r="31" spans="1:9">
      <c r="A31" s="213" t="s">
        <v>881</v>
      </c>
      <c r="B31" s="25" t="s">
        <v>863</v>
      </c>
      <c r="C31" s="164">
        <v>43383</v>
      </c>
      <c r="D31" s="25" t="s">
        <v>96</v>
      </c>
      <c r="E31" s="25" t="s">
        <v>185</v>
      </c>
      <c r="F31" s="25">
        <v>4960</v>
      </c>
      <c r="G31" s="164">
        <v>44104</v>
      </c>
      <c r="H31" s="165">
        <v>5570</v>
      </c>
      <c r="I31" s="214" t="s">
        <v>882</v>
      </c>
    </row>
    <row r="32" spans="1:9">
      <c r="A32" s="215" t="s">
        <v>881</v>
      </c>
      <c r="B32" s="189" t="s">
        <v>863</v>
      </c>
      <c r="C32" s="190">
        <v>43383</v>
      </c>
      <c r="D32" s="189" t="s">
        <v>96</v>
      </c>
      <c r="E32" s="189" t="s">
        <v>185</v>
      </c>
      <c r="F32" s="189">
        <v>4959</v>
      </c>
      <c r="G32" s="190">
        <v>44165</v>
      </c>
      <c r="H32" s="216">
        <v>10000</v>
      </c>
      <c r="I32" s="217" t="s">
        <v>99</v>
      </c>
    </row>
    <row r="33" spans="1:9">
      <c r="A33" s="19" t="s">
        <v>883</v>
      </c>
      <c r="H33" s="218">
        <f>SUM(H30:H32)</f>
        <v>25570</v>
      </c>
    </row>
    <row r="34" spans="1:9">
      <c r="A34" s="207" t="s">
        <v>884</v>
      </c>
      <c r="B34" s="177" t="s">
        <v>863</v>
      </c>
      <c r="C34" s="179">
        <v>44721</v>
      </c>
      <c r="D34" s="177" t="s">
        <v>114</v>
      </c>
      <c r="E34" s="177" t="s">
        <v>103</v>
      </c>
      <c r="F34" s="177">
        <v>4558</v>
      </c>
      <c r="G34" s="179">
        <v>44726</v>
      </c>
      <c r="H34" s="209">
        <v>2277</v>
      </c>
      <c r="I34" s="152" t="s">
        <v>885</v>
      </c>
    </row>
    <row r="35" spans="1:9">
      <c r="A35" s="219" t="s">
        <v>886</v>
      </c>
      <c r="B35" s="199" t="s">
        <v>863</v>
      </c>
      <c r="C35" s="200">
        <v>44471</v>
      </c>
      <c r="D35" s="199" t="s">
        <v>96</v>
      </c>
      <c r="E35" s="199" t="s">
        <v>115</v>
      </c>
      <c r="F35" s="199">
        <v>3831</v>
      </c>
      <c r="G35" s="200">
        <v>44767</v>
      </c>
      <c r="H35" s="220">
        <v>14461.5</v>
      </c>
      <c r="I35" s="212" t="s">
        <v>887</v>
      </c>
    </row>
    <row r="36" spans="1:9">
      <c r="A36" s="210" t="s">
        <v>888</v>
      </c>
      <c r="B36" s="199" t="s">
        <v>863</v>
      </c>
      <c r="C36" s="200">
        <v>44526</v>
      </c>
      <c r="D36" s="199" t="s">
        <v>96</v>
      </c>
      <c r="E36" s="199" t="s">
        <v>103</v>
      </c>
      <c r="F36" s="199">
        <v>2485</v>
      </c>
      <c r="G36" s="200">
        <v>45519</v>
      </c>
      <c r="H36" s="211">
        <v>2567.54</v>
      </c>
      <c r="I36" s="212" t="s">
        <v>889</v>
      </c>
    </row>
    <row r="37" spans="1:9">
      <c r="A37" s="213" t="s">
        <v>888</v>
      </c>
      <c r="B37" s="25" t="s">
        <v>863</v>
      </c>
      <c r="C37" s="164">
        <v>44526</v>
      </c>
      <c r="D37" s="25" t="s">
        <v>96</v>
      </c>
      <c r="E37" s="25" t="s">
        <v>103</v>
      </c>
      <c r="F37" s="25">
        <v>2486</v>
      </c>
      <c r="G37" s="164">
        <v>45550</v>
      </c>
      <c r="H37" s="165">
        <v>3000</v>
      </c>
      <c r="I37" s="214" t="s">
        <v>98</v>
      </c>
    </row>
    <row r="38" spans="1:9">
      <c r="A38" s="215" t="s">
        <v>888</v>
      </c>
      <c r="B38" s="189" t="s">
        <v>863</v>
      </c>
      <c r="C38" s="190">
        <v>44526</v>
      </c>
      <c r="D38" s="189" t="s">
        <v>96</v>
      </c>
      <c r="E38" s="189" t="s">
        <v>103</v>
      </c>
      <c r="F38" s="189">
        <v>2487</v>
      </c>
      <c r="G38" s="190">
        <v>45580</v>
      </c>
      <c r="H38" s="216">
        <v>3000</v>
      </c>
      <c r="I38" s="217" t="s">
        <v>98</v>
      </c>
    </row>
    <row r="39" spans="1:9">
      <c r="A39" s="19" t="s">
        <v>890</v>
      </c>
      <c r="H39" s="218">
        <f>SUM(H36:H38)</f>
        <v>8567.54</v>
      </c>
    </row>
    <row r="40" spans="1:9">
      <c r="A40" s="207" t="s">
        <v>891</v>
      </c>
      <c r="B40" s="177" t="s">
        <v>863</v>
      </c>
      <c r="C40" s="179">
        <v>44921</v>
      </c>
      <c r="D40" s="177" t="s">
        <v>114</v>
      </c>
      <c r="E40" s="177" t="s">
        <v>119</v>
      </c>
      <c r="F40" s="177">
        <v>1567</v>
      </c>
      <c r="G40" s="179">
        <v>44942</v>
      </c>
      <c r="H40" s="209">
        <v>1700</v>
      </c>
      <c r="I40" s="152" t="s">
        <v>892</v>
      </c>
    </row>
    <row r="41" spans="1:9">
      <c r="A41" s="207" t="s">
        <v>893</v>
      </c>
      <c r="B41" s="177" t="s">
        <v>863</v>
      </c>
      <c r="C41" s="179">
        <v>44812</v>
      </c>
      <c r="D41" s="177" t="s">
        <v>114</v>
      </c>
      <c r="E41" s="177" t="s">
        <v>106</v>
      </c>
      <c r="F41" s="177">
        <v>1535</v>
      </c>
      <c r="G41" s="179">
        <v>44985</v>
      </c>
      <c r="H41" s="209">
        <v>14120</v>
      </c>
      <c r="I41" s="152" t="s">
        <v>894</v>
      </c>
    </row>
    <row r="42" spans="1:9">
      <c r="A42" s="219" t="s">
        <v>895</v>
      </c>
      <c r="B42" s="199" t="s">
        <v>863</v>
      </c>
      <c r="C42" s="200">
        <v>45071</v>
      </c>
      <c r="D42" s="199" t="s">
        <v>96</v>
      </c>
      <c r="E42" s="199" t="s">
        <v>103</v>
      </c>
      <c r="F42" s="199">
        <v>1485</v>
      </c>
      <c r="G42" s="200">
        <v>45117</v>
      </c>
      <c r="H42" s="220">
        <v>969</v>
      </c>
      <c r="I42" s="212" t="s">
        <v>896</v>
      </c>
    </row>
    <row r="43" spans="1:9">
      <c r="A43" s="58" t="s">
        <v>897</v>
      </c>
      <c r="B43" s="199" t="s">
        <v>863</v>
      </c>
      <c r="C43" s="200">
        <v>45164</v>
      </c>
      <c r="D43" s="199" t="s">
        <v>114</v>
      </c>
      <c r="E43" s="199" t="s">
        <v>103</v>
      </c>
      <c r="F43" s="199">
        <v>8890</v>
      </c>
      <c r="G43" s="200">
        <v>45376</v>
      </c>
      <c r="H43" s="221">
        <v>5000</v>
      </c>
      <c r="I43" s="212" t="s">
        <v>898</v>
      </c>
    </row>
    <row r="44" spans="1:9">
      <c r="A44" s="64" t="s">
        <v>897</v>
      </c>
      <c r="B44" s="189" t="s">
        <v>863</v>
      </c>
      <c r="C44" s="190">
        <v>45209</v>
      </c>
      <c r="D44" s="189" t="s">
        <v>114</v>
      </c>
      <c r="E44" s="189" t="s">
        <v>103</v>
      </c>
      <c r="F44" s="189">
        <v>8891</v>
      </c>
      <c r="G44" s="190">
        <v>45407</v>
      </c>
      <c r="H44" s="222">
        <v>7000</v>
      </c>
      <c r="I44" s="217" t="s">
        <v>98</v>
      </c>
    </row>
    <row r="45" spans="1:9">
      <c r="A45" s="19" t="s">
        <v>899</v>
      </c>
      <c r="H45" s="218">
        <f>SUM(H43:H44)</f>
        <v>12000</v>
      </c>
    </row>
    <row r="46" spans="1:9">
      <c r="A46" s="58" t="s">
        <v>900</v>
      </c>
      <c r="B46" s="199" t="s">
        <v>863</v>
      </c>
      <c r="C46" s="200">
        <v>45727</v>
      </c>
      <c r="D46" s="199" t="s">
        <v>114</v>
      </c>
      <c r="E46" s="199" t="s">
        <v>185</v>
      </c>
      <c r="F46" s="199">
        <v>4485</v>
      </c>
      <c r="G46" s="200">
        <v>45777</v>
      </c>
      <c r="H46" s="221">
        <v>3200</v>
      </c>
      <c r="I46" s="212" t="s">
        <v>98</v>
      </c>
    </row>
    <row r="47" spans="1:9">
      <c r="A47" s="223" t="s">
        <v>900</v>
      </c>
      <c r="B47" s="25" t="s">
        <v>863</v>
      </c>
      <c r="C47" s="164">
        <v>45727</v>
      </c>
      <c r="D47" s="25" t="s">
        <v>114</v>
      </c>
      <c r="E47" s="25" t="s">
        <v>185</v>
      </c>
      <c r="F47" s="25">
        <v>4486</v>
      </c>
      <c r="G47" s="164">
        <v>45808</v>
      </c>
      <c r="H47" s="224">
        <v>3452.8</v>
      </c>
      <c r="I47" s="214" t="s">
        <v>98</v>
      </c>
    </row>
    <row r="48" spans="1:9">
      <c r="A48" s="223" t="s">
        <v>900</v>
      </c>
      <c r="B48" s="25" t="s">
        <v>863</v>
      </c>
      <c r="C48" s="164">
        <v>45727</v>
      </c>
      <c r="D48" s="25" t="s">
        <v>114</v>
      </c>
      <c r="E48" s="25" t="s">
        <v>185</v>
      </c>
      <c r="F48" s="25">
        <v>4488</v>
      </c>
      <c r="G48" s="164">
        <v>45838</v>
      </c>
      <c r="H48" s="224">
        <v>3000</v>
      </c>
      <c r="I48" s="214" t="s">
        <v>98</v>
      </c>
    </row>
    <row r="49" spans="1:9">
      <c r="A49" s="64" t="s">
        <v>900</v>
      </c>
      <c r="B49" s="189" t="s">
        <v>863</v>
      </c>
      <c r="C49" s="225" t="s">
        <v>358</v>
      </c>
      <c r="D49" s="189" t="s">
        <v>114</v>
      </c>
      <c r="E49" s="189" t="s">
        <v>185</v>
      </c>
      <c r="F49" s="189">
        <v>4489</v>
      </c>
      <c r="G49" s="190">
        <v>45899</v>
      </c>
      <c r="H49" s="222">
        <v>4611.2</v>
      </c>
      <c r="I49" s="217" t="s">
        <v>98</v>
      </c>
    </row>
    <row r="50" spans="1:9">
      <c r="A50" s="19" t="s">
        <v>901</v>
      </c>
      <c r="H50" s="218">
        <f>SUM(H46:H49)</f>
        <v>14264</v>
      </c>
    </row>
    <row r="51" spans="1:9">
      <c r="A51" s="219" t="s">
        <v>902</v>
      </c>
      <c r="B51" s="199" t="s">
        <v>863</v>
      </c>
      <c r="C51" s="200">
        <v>45792</v>
      </c>
      <c r="D51" s="199" t="s">
        <v>114</v>
      </c>
      <c r="E51" s="199" t="s">
        <v>220</v>
      </c>
      <c r="F51" s="199">
        <v>2467</v>
      </c>
      <c r="G51" s="200">
        <v>45838</v>
      </c>
      <c r="H51" s="220">
        <v>14473</v>
      </c>
      <c r="I51" s="212" t="s">
        <v>98</v>
      </c>
    </row>
    <row r="52" spans="1:9">
      <c r="A52" s="148" t="s">
        <v>903</v>
      </c>
      <c r="B52" s="177" t="s">
        <v>863</v>
      </c>
      <c r="C52" s="179">
        <v>45867</v>
      </c>
      <c r="D52" s="177" t="s">
        <v>96</v>
      </c>
      <c r="E52" s="177" t="s">
        <v>103</v>
      </c>
      <c r="F52" s="177">
        <v>8828</v>
      </c>
      <c r="G52" s="179">
        <v>46032</v>
      </c>
      <c r="H52" s="226">
        <v>45714.47</v>
      </c>
      <c r="I52" s="152" t="s">
        <v>98</v>
      </c>
    </row>
    <row r="53" spans="1:9">
      <c r="A53" s="19" t="s">
        <v>904</v>
      </c>
      <c r="H53" s="218">
        <f>SUM(H52:H52)</f>
        <v>45714.47</v>
      </c>
    </row>
    <row r="54" spans="1:9">
      <c r="A54" s="58" t="s">
        <v>905</v>
      </c>
      <c r="B54" s="199" t="s">
        <v>863</v>
      </c>
      <c r="C54" s="200">
        <v>45853</v>
      </c>
      <c r="D54" s="199" t="s">
        <v>114</v>
      </c>
      <c r="E54" s="199" t="s">
        <v>115</v>
      </c>
      <c r="F54" s="199">
        <v>800042</v>
      </c>
      <c r="G54" s="200">
        <v>45868</v>
      </c>
      <c r="H54" s="221">
        <v>3325</v>
      </c>
      <c r="I54" s="212" t="s">
        <v>98</v>
      </c>
    </row>
    <row r="55" spans="1:9">
      <c r="A55" s="223" t="s">
        <v>905</v>
      </c>
      <c r="B55" s="25" t="s">
        <v>863</v>
      </c>
      <c r="C55" s="164">
        <v>45869</v>
      </c>
      <c r="D55" s="25" t="s">
        <v>114</v>
      </c>
      <c r="E55" s="25" t="s">
        <v>115</v>
      </c>
      <c r="F55" s="25">
        <v>800043</v>
      </c>
      <c r="G55" s="164">
        <v>45889</v>
      </c>
      <c r="H55" s="224">
        <v>3825</v>
      </c>
      <c r="I55" s="214"/>
    </row>
    <row r="56" spans="1:9">
      <c r="A56" s="64" t="s">
        <v>905</v>
      </c>
      <c r="B56" s="189" t="s">
        <v>863</v>
      </c>
      <c r="C56" s="190">
        <v>45869</v>
      </c>
      <c r="D56" s="189" t="s">
        <v>114</v>
      </c>
      <c r="E56" s="189" t="s">
        <v>115</v>
      </c>
      <c r="F56" s="189">
        <v>800044</v>
      </c>
      <c r="G56" s="190">
        <v>45905</v>
      </c>
      <c r="H56" s="222">
        <v>3825</v>
      </c>
      <c r="I56" s="217" t="s">
        <v>98</v>
      </c>
    </row>
    <row r="57" spans="1:9">
      <c r="A57" s="19" t="s">
        <v>906</v>
      </c>
      <c r="H57" s="218">
        <f>SUM(H54:H56)</f>
        <v>10975</v>
      </c>
    </row>
    <row r="58" spans="1:9">
      <c r="A58" s="58" t="s">
        <v>907</v>
      </c>
      <c r="B58" s="199" t="s">
        <v>863</v>
      </c>
      <c r="C58" s="200">
        <v>45653</v>
      </c>
      <c r="D58" s="199" t="s">
        <v>96</v>
      </c>
      <c r="E58" s="199" t="s">
        <v>115</v>
      </c>
      <c r="F58" s="199">
        <v>1195</v>
      </c>
      <c r="G58" s="200">
        <v>45915</v>
      </c>
      <c r="H58" s="221">
        <v>5000</v>
      </c>
      <c r="I58" s="212" t="s">
        <v>98</v>
      </c>
    </row>
    <row r="59" spans="1:9">
      <c r="A59" s="64" t="s">
        <v>908</v>
      </c>
      <c r="B59" s="189" t="s">
        <v>863</v>
      </c>
      <c r="C59" s="190">
        <v>45662</v>
      </c>
      <c r="D59" s="189" t="s">
        <v>114</v>
      </c>
      <c r="E59" s="189" t="s">
        <v>115</v>
      </c>
      <c r="F59" s="189">
        <v>9</v>
      </c>
      <c r="G59" s="190">
        <v>46042</v>
      </c>
      <c r="H59" s="222">
        <v>20000</v>
      </c>
      <c r="I59" s="217" t="s">
        <v>909</v>
      </c>
    </row>
    <row r="60" spans="1:9">
      <c r="A60" s="227" t="s">
        <v>910</v>
      </c>
      <c r="H60" s="218">
        <f>SUM(H58:H59)</f>
        <v>25000</v>
      </c>
    </row>
    <row r="61" spans="1:9">
      <c r="A61" s="219" t="s">
        <v>911</v>
      </c>
      <c r="B61" s="199" t="s">
        <v>863</v>
      </c>
      <c r="C61" s="200">
        <v>45849</v>
      </c>
      <c r="D61" s="199" t="s">
        <v>96</v>
      </c>
      <c r="E61" s="228" t="s">
        <v>103</v>
      </c>
      <c r="F61" s="199">
        <v>561</v>
      </c>
      <c r="G61" s="200">
        <v>45966</v>
      </c>
      <c r="H61" s="220">
        <v>137150</v>
      </c>
      <c r="I61" s="212" t="s">
        <v>98</v>
      </c>
    </row>
    <row r="62" spans="1:9">
      <c r="A62" s="58" t="s">
        <v>912</v>
      </c>
      <c r="B62" s="199" t="s">
        <v>863</v>
      </c>
      <c r="C62" s="200">
        <v>45834</v>
      </c>
      <c r="D62" s="199" t="s">
        <v>96</v>
      </c>
      <c r="E62" s="228" t="s">
        <v>913</v>
      </c>
      <c r="F62" s="199">
        <v>9018</v>
      </c>
      <c r="G62" s="200">
        <v>45991</v>
      </c>
      <c r="H62" s="221">
        <v>13700</v>
      </c>
      <c r="I62" s="212" t="s">
        <v>98</v>
      </c>
    </row>
    <row r="63" spans="1:9">
      <c r="A63" s="64" t="s">
        <v>914</v>
      </c>
      <c r="B63" s="189" t="s">
        <v>863</v>
      </c>
      <c r="C63" s="190">
        <v>45916</v>
      </c>
      <c r="D63" s="189" t="s">
        <v>96</v>
      </c>
      <c r="E63" s="229" t="s">
        <v>115</v>
      </c>
      <c r="F63" s="189">
        <v>133</v>
      </c>
      <c r="G63" s="190">
        <v>46162</v>
      </c>
      <c r="H63" s="222">
        <v>10000</v>
      </c>
      <c r="I63" s="217" t="s">
        <v>498</v>
      </c>
    </row>
    <row r="64" spans="1:9">
      <c r="A64" s="19" t="s">
        <v>915</v>
      </c>
      <c r="H64" s="218">
        <f>SUM(H62:H63)</f>
        <v>23700</v>
      </c>
    </row>
    <row r="65" spans="1:9">
      <c r="A65" s="219" t="s">
        <v>916</v>
      </c>
      <c r="B65" s="199" t="s">
        <v>863</v>
      </c>
      <c r="C65" s="200">
        <v>45761</v>
      </c>
      <c r="D65" s="228" t="s">
        <v>96</v>
      </c>
      <c r="E65" s="228" t="s">
        <v>103</v>
      </c>
      <c r="F65" s="199">
        <v>1064</v>
      </c>
      <c r="G65" s="200">
        <v>46006</v>
      </c>
      <c r="H65" s="220">
        <v>10000</v>
      </c>
      <c r="I65" s="212" t="s">
        <v>917</v>
      </c>
    </row>
    <row r="66" spans="1:9">
      <c r="A66" s="230" t="s">
        <v>918</v>
      </c>
      <c r="B66" s="199" t="s">
        <v>863</v>
      </c>
      <c r="C66" s="200">
        <v>45859</v>
      </c>
      <c r="D66" s="228" t="s">
        <v>96</v>
      </c>
      <c r="E66" s="228" t="s">
        <v>103</v>
      </c>
      <c r="F66" s="199">
        <v>5388</v>
      </c>
      <c r="G66" s="200">
        <v>46011</v>
      </c>
      <c r="H66" s="231">
        <v>18715.79</v>
      </c>
      <c r="I66" s="212" t="s">
        <v>98</v>
      </c>
    </row>
    <row r="67" spans="1:9">
      <c r="A67" s="232" t="s">
        <v>918</v>
      </c>
      <c r="B67" s="189" t="s">
        <v>863</v>
      </c>
      <c r="C67" s="190">
        <v>45987</v>
      </c>
      <c r="D67" s="229" t="s">
        <v>96</v>
      </c>
      <c r="E67" s="229" t="s">
        <v>103</v>
      </c>
      <c r="F67" s="189">
        <v>5954</v>
      </c>
      <c r="G67" s="190">
        <v>46142</v>
      </c>
      <c r="H67" s="233">
        <v>21119.34</v>
      </c>
      <c r="I67" s="217" t="s">
        <v>98</v>
      </c>
    </row>
    <row r="68" spans="1:9">
      <c r="A68" s="19" t="s">
        <v>919</v>
      </c>
      <c r="H68" s="218">
        <f>SUM(H66:H67)</f>
        <v>39835.13</v>
      </c>
    </row>
    <row r="69" spans="1:9">
      <c r="A69" s="207" t="s">
        <v>920</v>
      </c>
      <c r="B69" s="177" t="s">
        <v>863</v>
      </c>
      <c r="C69" s="179">
        <v>45849</v>
      </c>
      <c r="D69" s="177" t="s">
        <v>114</v>
      </c>
      <c r="E69" s="149" t="s">
        <v>192</v>
      </c>
      <c r="F69" s="177">
        <v>7250</v>
      </c>
      <c r="G69" s="179">
        <v>46042</v>
      </c>
      <c r="H69" s="209">
        <v>36695</v>
      </c>
      <c r="I69" s="152" t="s">
        <v>921</v>
      </c>
    </row>
    <row r="70" spans="1:9">
      <c r="A70" s="58" t="s">
        <v>922</v>
      </c>
      <c r="B70" s="199" t="s">
        <v>863</v>
      </c>
      <c r="C70" s="200" t="s">
        <v>923</v>
      </c>
      <c r="D70" s="199" t="s">
        <v>114</v>
      </c>
      <c r="E70" s="199" t="s">
        <v>115</v>
      </c>
      <c r="F70" s="234" t="s">
        <v>924</v>
      </c>
      <c r="G70" s="200">
        <v>45285</v>
      </c>
      <c r="H70" s="221">
        <v>4995</v>
      </c>
      <c r="I70" s="212" t="s">
        <v>925</v>
      </c>
    </row>
    <row r="71" spans="1:9">
      <c r="A71" s="223" t="s">
        <v>926</v>
      </c>
      <c r="B71" s="25" t="s">
        <v>863</v>
      </c>
      <c r="C71" s="164">
        <v>45070</v>
      </c>
      <c r="D71" s="25" t="s">
        <v>114</v>
      </c>
      <c r="E71" s="21" t="s">
        <v>103</v>
      </c>
      <c r="F71" s="25">
        <v>6839</v>
      </c>
      <c r="G71" s="164">
        <v>46204</v>
      </c>
      <c r="H71" s="224">
        <v>10540</v>
      </c>
      <c r="I71" s="214"/>
    </row>
    <row r="72" spans="1:9">
      <c r="A72" s="64" t="s">
        <v>926</v>
      </c>
      <c r="B72" s="189" t="s">
        <v>863</v>
      </c>
      <c r="C72" s="190">
        <v>45070</v>
      </c>
      <c r="D72" s="189" t="s">
        <v>114</v>
      </c>
      <c r="E72" s="229" t="s">
        <v>103</v>
      </c>
      <c r="F72" s="189">
        <v>9535</v>
      </c>
      <c r="G72" s="190">
        <v>46204</v>
      </c>
      <c r="H72" s="222">
        <v>110540</v>
      </c>
      <c r="I72" s="217"/>
    </row>
    <row r="73" spans="1:9">
      <c r="A73" s="19" t="s">
        <v>927</v>
      </c>
      <c r="H73" s="218">
        <f>SUM(H70:H72)</f>
        <v>126075</v>
      </c>
    </row>
    <row r="74" spans="1:9">
      <c r="A74" s="235" t="s">
        <v>928</v>
      </c>
      <c r="B74" s="236" t="s">
        <v>863</v>
      </c>
      <c r="C74" s="237">
        <v>46084</v>
      </c>
      <c r="D74" s="236" t="s">
        <v>114</v>
      </c>
      <c r="E74" s="236" t="s">
        <v>192</v>
      </c>
      <c r="F74" s="236">
        <v>7951</v>
      </c>
      <c r="G74" s="237">
        <v>46218</v>
      </c>
      <c r="H74" s="238">
        <v>4634.38</v>
      </c>
      <c r="I74" s="239" t="s">
        <v>493</v>
      </c>
    </row>
    <row r="75" spans="1:9">
      <c r="A75" s="240" t="s">
        <v>929</v>
      </c>
      <c r="B75" s="241"/>
      <c r="C75" s="242"/>
      <c r="D75" s="241"/>
      <c r="E75" s="241"/>
      <c r="F75" s="241"/>
      <c r="G75" s="242"/>
      <c r="H75" s="243">
        <f>SUM(H74:H74)</f>
        <v>4634.38</v>
      </c>
      <c r="I75" s="241"/>
    </row>
    <row r="76" spans="1:9">
      <c r="A76" s="244" t="s">
        <v>930</v>
      </c>
      <c r="B76" s="236" t="s">
        <v>863</v>
      </c>
      <c r="C76" s="237">
        <v>46064</v>
      </c>
      <c r="D76" s="236" t="s">
        <v>114</v>
      </c>
      <c r="E76" s="236" t="s">
        <v>115</v>
      </c>
      <c r="F76" s="236">
        <v>168</v>
      </c>
      <c r="G76" s="237">
        <v>46220</v>
      </c>
      <c r="H76" s="245">
        <v>11250</v>
      </c>
      <c r="I76" s="239" t="s">
        <v>98</v>
      </c>
    </row>
    <row r="77" spans="1:9">
      <c r="A77" s="19"/>
      <c r="H77" s="246"/>
    </row>
    <row r="78" ht="18.35" spans="1:9">
      <c r="A78" s="19"/>
      <c r="H78" s="246"/>
    </row>
    <row r="79" ht="23.95" spans="1:9">
      <c r="B79" s="26"/>
      <c r="C79" s="32" t="s">
        <v>931</v>
      </c>
      <c r="D79" s="33"/>
      <c r="E79" s="33"/>
      <c r="F79" s="33"/>
      <c r="G79" s="34"/>
      <c r="H79" s="35">
        <f>H7+H8+H22+H26+H28+H29+H33+H27+H34+H35+H39+H40+H41+H42+H45+H50+H51+H53+H57+H60+H61+H64+H65+H68+H69+H73+H75+H76</f>
        <v>1972303.3</v>
      </c>
      <c r="I79" s="36"/>
    </row>
    <row r="80" spans="1:9">
      <c r="B80" s="26"/>
      <c r="C80" s="27"/>
      <c r="D80" s="26"/>
      <c r="E80" s="26"/>
      <c r="F80" s="6"/>
      <c r="G80" s="29"/>
      <c r="H80" s="30"/>
      <c r="I80" s="26"/>
    </row>
    <row r="81" ht="18.35" spans="2:9">
      <c r="B81" s="26"/>
      <c r="C81" s="27"/>
      <c r="D81" s="26"/>
      <c r="E81" s="26"/>
      <c r="F81" s="6"/>
      <c r="G81" s="29"/>
      <c r="H81" s="30"/>
      <c r="I81" s="26"/>
    </row>
    <row r="82" spans="2:9">
      <c r="B82" s="26"/>
      <c r="C82" s="247" t="s">
        <v>932</v>
      </c>
      <c r="D82" s="248"/>
      <c r="E82" s="248"/>
      <c r="F82" s="248"/>
      <c r="G82" s="248"/>
      <c r="H82" s="249">
        <v>2020799.05</v>
      </c>
      <c r="I82" s="250">
        <f>+($H$79-H82)/H82</f>
        <v>-0.0239983040372076</v>
      </c>
    </row>
    <row r="83" spans="2:9">
      <c r="B83" s="26"/>
      <c r="C83" s="251" t="s">
        <v>933</v>
      </c>
      <c r="D83" s="252"/>
      <c r="E83" s="252"/>
      <c r="F83" s="252"/>
      <c r="G83" s="252"/>
      <c r="H83" s="253">
        <v>2008457.9</v>
      </c>
      <c r="I83" s="254">
        <f>+($H$79-H83)/H83</f>
        <v>-0.0180011739354856</v>
      </c>
    </row>
    <row r="84" ht="18.35" spans="2:9">
      <c r="B84" s="26"/>
      <c r="C84" s="123" t="s">
        <v>934</v>
      </c>
      <c r="D84" s="124"/>
      <c r="E84" s="255"/>
      <c r="F84" s="124"/>
      <c r="G84" s="124"/>
      <c r="H84" s="256">
        <v>2008457.9</v>
      </c>
      <c r="I84" s="257">
        <f>+($H$79-H84)/H84</f>
        <v>-0.0180011739354856</v>
      </c>
    </row>
    <row r="85" spans="2:9">
      <c r="B85" s="26"/>
      <c r="C85" s="27"/>
      <c r="D85" s="26"/>
      <c r="E85" s="26"/>
      <c r="F85" s="6"/>
      <c r="G85" s="29"/>
      <c r="H85" s="31"/>
      <c r="I85" s="26"/>
    </row>
    <row r="86" spans="2:9">
      <c r="B86" s="258"/>
      <c r="C86" s="259" t="s">
        <v>510</v>
      </c>
      <c r="D86" s="130"/>
      <c r="E86" s="131"/>
      <c r="F86" s="132"/>
      <c r="G86" s="29"/>
      <c r="H86" s="30"/>
      <c r="I86" s="26"/>
    </row>
    <row r="87" spans="2:9">
      <c r="B87" s="26"/>
      <c r="C87" s="260"/>
      <c r="D87" s="26"/>
      <c r="E87" s="26"/>
      <c r="F87" s="6"/>
      <c r="G87" s="29"/>
      <c r="H87" s="30"/>
      <c r="I87" s="26"/>
    </row>
    <row r="89" spans="2:9">
      <c r="D89" s="21" t="s">
        <v>931</v>
      </c>
      <c r="E89" s="21"/>
      <c r="F89" s="21"/>
    </row>
    <row r="90" spans="2:9">
      <c r="C90" s="261">
        <v>45470</v>
      </c>
      <c r="D90" s="262">
        <v>2457097.74</v>
      </c>
      <c r="E90" s="151"/>
      <c r="F90" s="263"/>
    </row>
    <row r="91" spans="2:9">
      <c r="C91" s="261">
        <v>45477</v>
      </c>
      <c r="D91" s="262">
        <v>2463297.74</v>
      </c>
      <c r="E91" s="151"/>
      <c r="F91" s="263"/>
    </row>
    <row r="92" spans="2:9">
      <c r="C92" s="261">
        <v>45484</v>
      </c>
      <c r="D92" s="262">
        <v>2459830.34</v>
      </c>
      <c r="E92" s="151"/>
      <c r="F92" s="263"/>
    </row>
    <row r="93" spans="2:9">
      <c r="C93" s="261">
        <v>45491</v>
      </c>
      <c r="D93" s="262">
        <v>2512680.34</v>
      </c>
      <c r="E93" s="151"/>
      <c r="F93" s="263"/>
    </row>
    <row r="94" spans="2:9">
      <c r="C94" s="261">
        <v>45498</v>
      </c>
      <c r="D94" s="262">
        <v>2522680.34</v>
      </c>
      <c r="E94" s="151"/>
      <c r="F94" s="263"/>
    </row>
    <row r="95" spans="2:9">
      <c r="C95" s="261">
        <v>45505</v>
      </c>
      <c r="D95" s="262">
        <v>2420830.34</v>
      </c>
      <c r="E95" s="151"/>
      <c r="F95" s="263"/>
    </row>
    <row r="96" spans="2:9">
      <c r="C96" s="261">
        <v>45512</v>
      </c>
      <c r="D96" s="262">
        <v>2468456.94</v>
      </c>
      <c r="E96" s="151"/>
      <c r="F96" s="263"/>
    </row>
    <row r="97" spans="3:6">
      <c r="C97" s="261">
        <v>45519</v>
      </c>
      <c r="D97" s="262">
        <v>2436761.94</v>
      </c>
      <c r="E97" s="151"/>
      <c r="F97" s="263"/>
    </row>
    <row r="98" spans="3:6">
      <c r="C98" s="261">
        <v>45547</v>
      </c>
      <c r="D98" s="262">
        <v>2496452.31</v>
      </c>
      <c r="E98" s="151"/>
      <c r="F98" s="263"/>
    </row>
    <row r="99" spans="3:6">
      <c r="C99" s="261">
        <v>45554</v>
      </c>
      <c r="D99" s="262">
        <v>2446452.31</v>
      </c>
      <c r="E99" s="151"/>
      <c r="F99" s="263"/>
    </row>
    <row r="100" spans="3:6">
      <c r="C100" s="261">
        <v>45561</v>
      </c>
      <c r="D100" s="262">
        <v>2451747.31</v>
      </c>
      <c r="E100" s="151"/>
      <c r="F100" s="263"/>
    </row>
    <row r="101" spans="3:6">
      <c r="C101" s="261">
        <v>45568</v>
      </c>
      <c r="D101" s="262">
        <v>2451747.31</v>
      </c>
      <c r="E101" s="151"/>
      <c r="F101" s="263"/>
    </row>
    <row r="102" spans="3:6">
      <c r="C102" s="261">
        <v>45575</v>
      </c>
      <c r="D102" s="262">
        <v>2451747.31</v>
      </c>
      <c r="E102" s="151"/>
      <c r="F102" s="263"/>
    </row>
    <row r="103" spans="3:6">
      <c r="C103" s="261">
        <v>45582</v>
      </c>
      <c r="D103" s="262">
        <v>2442547.31</v>
      </c>
      <c r="E103" s="151"/>
      <c r="F103" s="263"/>
    </row>
    <row r="104" spans="3:6">
      <c r="C104" s="261">
        <v>45589</v>
      </c>
      <c r="D104" s="262">
        <v>2468724.42</v>
      </c>
      <c r="E104" s="151"/>
      <c r="F104" s="263"/>
    </row>
    <row r="105" spans="3:6">
      <c r="C105" s="261">
        <v>45596</v>
      </c>
      <c r="D105" s="262">
        <v>2456164.42</v>
      </c>
      <c r="E105" s="151"/>
      <c r="F105" s="263"/>
    </row>
    <row r="106" spans="3:6">
      <c r="C106" s="261">
        <v>45603</v>
      </c>
      <c r="D106" s="262">
        <v>2481409.15</v>
      </c>
      <c r="E106" s="151"/>
      <c r="F106" s="263"/>
    </row>
    <row r="107" spans="3:6">
      <c r="C107" s="261">
        <v>45610</v>
      </c>
      <c r="D107" s="262">
        <v>2253288.75</v>
      </c>
      <c r="E107" s="151"/>
      <c r="F107" s="263"/>
    </row>
    <row r="108" spans="3:6">
      <c r="C108" s="261">
        <v>45617</v>
      </c>
      <c r="D108" s="262">
        <v>2215366.52</v>
      </c>
      <c r="E108" s="151"/>
      <c r="F108" s="263"/>
    </row>
    <row r="109" spans="3:6">
      <c r="C109" s="261">
        <v>45624</v>
      </c>
      <c r="D109" s="262">
        <v>2218366.52</v>
      </c>
      <c r="E109" s="151"/>
      <c r="F109" s="263"/>
    </row>
    <row r="110" spans="3:6">
      <c r="C110" s="261">
        <v>45631</v>
      </c>
      <c r="D110" s="262">
        <v>2218366.52</v>
      </c>
      <c r="E110" s="151"/>
      <c r="F110" s="263"/>
    </row>
    <row r="111" spans="3:6">
      <c r="C111" s="261">
        <v>45638</v>
      </c>
      <c r="D111" s="262">
        <v>2260164.42</v>
      </c>
      <c r="E111" s="151"/>
      <c r="F111" s="263"/>
    </row>
    <row r="112" spans="3:6">
      <c r="C112" s="261">
        <v>45645</v>
      </c>
      <c r="D112" s="262">
        <v>2246164.42</v>
      </c>
      <c r="E112" s="151"/>
      <c r="F112" s="263"/>
    </row>
    <row r="113" spans="3:6">
      <c r="C113" s="261">
        <v>45652</v>
      </c>
      <c r="D113" s="262">
        <v>2246164.42</v>
      </c>
      <c r="E113" s="151"/>
      <c r="F113" s="263"/>
    </row>
    <row r="114" spans="3:6">
      <c r="C114" s="261">
        <v>45659</v>
      </c>
      <c r="D114" s="262">
        <v>2213164.42</v>
      </c>
      <c r="E114" s="151"/>
      <c r="F114" s="263"/>
    </row>
    <row r="115" spans="3:6">
      <c r="C115" s="261">
        <v>45666</v>
      </c>
      <c r="D115" s="262">
        <v>2124695.42</v>
      </c>
      <c r="E115" s="151"/>
      <c r="F115" s="263"/>
    </row>
    <row r="116" spans="3:6">
      <c r="C116" s="261">
        <v>45673</v>
      </c>
      <c r="D116" s="262">
        <v>2110195.42</v>
      </c>
      <c r="E116" s="151"/>
      <c r="F116" s="263"/>
    </row>
    <row r="117" spans="3:6">
      <c r="C117" s="261">
        <v>45680</v>
      </c>
      <c r="D117" s="262">
        <v>2110195.42</v>
      </c>
      <c r="E117" s="151"/>
      <c r="F117" s="263"/>
    </row>
    <row r="118" spans="3:6">
      <c r="C118" s="261">
        <v>45687</v>
      </c>
      <c r="D118" s="262">
        <v>2110195.42</v>
      </c>
      <c r="E118" s="151"/>
      <c r="F118" s="263"/>
    </row>
    <row r="119" spans="3:6">
      <c r="C119" s="261">
        <v>45694</v>
      </c>
      <c r="D119" s="262">
        <v>2110195.42</v>
      </c>
      <c r="E119" s="151"/>
      <c r="F119" s="263"/>
    </row>
    <row r="120" spans="3:6">
      <c r="C120" s="261">
        <v>45701</v>
      </c>
      <c r="D120" s="262">
        <v>2117195.42</v>
      </c>
      <c r="E120" s="151"/>
      <c r="F120" s="263"/>
    </row>
    <row r="121" spans="3:6">
      <c r="C121" s="261">
        <v>45708</v>
      </c>
      <c r="D121" s="262">
        <v>2097195.42</v>
      </c>
      <c r="E121" s="151"/>
      <c r="F121" s="263"/>
    </row>
    <row r="122" spans="3:6">
      <c r="C122" s="261">
        <v>45715</v>
      </c>
      <c r="D122" s="262">
        <v>2168872</v>
      </c>
      <c r="E122" s="151"/>
      <c r="F122" s="263"/>
    </row>
    <row r="123" spans="3:6">
      <c r="C123" s="261">
        <v>45694</v>
      </c>
      <c r="D123" s="262">
        <v>2181154.88</v>
      </c>
      <c r="E123" s="151"/>
      <c r="F123" s="263"/>
    </row>
    <row r="124" spans="3:6">
      <c r="C124" s="261">
        <v>45730</v>
      </c>
      <c r="D124" s="262">
        <v>2181154.88</v>
      </c>
      <c r="E124" s="151"/>
      <c r="F124" s="263"/>
    </row>
    <row r="125" spans="3:6">
      <c r="C125" s="261">
        <v>45736</v>
      </c>
      <c r="D125" s="262">
        <v>2181154.88</v>
      </c>
      <c r="E125" s="151"/>
      <c r="F125" s="263"/>
    </row>
    <row r="126" spans="3:6">
      <c r="C126" s="261">
        <v>45743</v>
      </c>
      <c r="D126" s="262">
        <v>2157430.16</v>
      </c>
      <c r="E126" s="151"/>
      <c r="F126" s="263"/>
    </row>
    <row r="127" spans="3:6">
      <c r="C127" s="261">
        <v>45750</v>
      </c>
      <c r="D127" s="262">
        <v>2077430.16</v>
      </c>
      <c r="E127" s="151"/>
      <c r="F127" s="263"/>
    </row>
    <row r="128" spans="3:6">
      <c r="C128" s="261">
        <v>45757</v>
      </c>
      <c r="D128" s="262">
        <v>2081231.06</v>
      </c>
      <c r="E128" s="151"/>
      <c r="F128" s="263"/>
    </row>
    <row r="129" spans="3:6">
      <c r="C129" s="261">
        <v>45764</v>
      </c>
      <c r="D129" s="262">
        <v>2054231.06</v>
      </c>
      <c r="E129" s="151"/>
      <c r="F129" s="263"/>
    </row>
    <row r="130" spans="3:6">
      <c r="C130" s="261">
        <v>45771</v>
      </c>
      <c r="D130" s="262">
        <v>2078421.17</v>
      </c>
      <c r="E130" s="151"/>
      <c r="F130" s="263"/>
    </row>
    <row r="131" spans="3:6">
      <c r="C131" s="261">
        <v>45779</v>
      </c>
      <c r="D131" s="262">
        <v>2080615.68</v>
      </c>
      <c r="E131" s="151"/>
      <c r="F131" s="263"/>
    </row>
    <row r="132" spans="3:6">
      <c r="C132" s="261">
        <v>45792</v>
      </c>
      <c r="D132" s="262">
        <v>1981835.66</v>
      </c>
      <c r="E132" s="151"/>
      <c r="F132" s="263"/>
    </row>
    <row r="133" spans="3:6">
      <c r="C133" s="261">
        <v>45799</v>
      </c>
      <c r="D133" s="262">
        <v>1981835.66</v>
      </c>
      <c r="E133" s="151"/>
      <c r="F133" s="263"/>
    </row>
    <row r="134" spans="3:6">
      <c r="C134" s="261">
        <v>45806</v>
      </c>
      <c r="D134" s="262">
        <v>2002546.56</v>
      </c>
      <c r="E134" s="151"/>
      <c r="F134" s="263"/>
    </row>
    <row r="135" spans="3:6">
      <c r="C135" s="261">
        <v>45820</v>
      </c>
      <c r="D135" s="262">
        <v>2015999.36</v>
      </c>
      <c r="E135" s="151"/>
      <c r="F135" s="263"/>
    </row>
    <row r="136" spans="3:6">
      <c r="C136" s="261">
        <v>45827</v>
      </c>
      <c r="D136" s="262">
        <v>2085999.36</v>
      </c>
      <c r="E136" s="151"/>
      <c r="F136" s="263"/>
    </row>
    <row r="137" spans="3:6">
      <c r="C137" s="261">
        <v>45842</v>
      </c>
      <c r="D137" s="262">
        <v>2098412.36</v>
      </c>
      <c r="E137" s="151"/>
      <c r="F137" s="263"/>
    </row>
    <row r="138" spans="3:6">
      <c r="C138" s="261">
        <v>45848</v>
      </c>
      <c r="D138" s="262">
        <v>2176530.43</v>
      </c>
      <c r="E138" s="151"/>
      <c r="F138" s="263"/>
    </row>
    <row r="139" spans="3:6">
      <c r="C139" s="261">
        <v>45856</v>
      </c>
      <c r="D139" s="262">
        <v>2170520.43</v>
      </c>
      <c r="E139" s="151"/>
      <c r="F139" s="263"/>
    </row>
    <row r="140" spans="3:6">
      <c r="C140" s="261">
        <v>45863</v>
      </c>
      <c r="D140" s="262">
        <v>2036008.11</v>
      </c>
      <c r="E140" s="151"/>
      <c r="F140" s="263"/>
    </row>
    <row r="141" spans="3:6">
      <c r="C141" s="261">
        <v>45880</v>
      </c>
      <c r="D141" s="262">
        <v>2043733.11</v>
      </c>
      <c r="E141" s="151"/>
      <c r="F141" s="263"/>
    </row>
    <row r="142" spans="3:6">
      <c r="C142" s="261">
        <v>45891</v>
      </c>
      <c r="D142" s="262">
        <v>2059309.23</v>
      </c>
      <c r="E142" s="151"/>
      <c r="F142" s="263"/>
    </row>
    <row r="143" spans="3:6">
      <c r="C143" s="261">
        <v>45919</v>
      </c>
      <c r="D143" s="262">
        <v>2045807.77</v>
      </c>
      <c r="E143" s="151"/>
      <c r="F143" s="263"/>
    </row>
    <row r="144" spans="3:6">
      <c r="C144" s="261">
        <v>45925</v>
      </c>
      <c r="D144" s="262">
        <v>2093740.74</v>
      </c>
      <c r="E144" s="151"/>
      <c r="F144" s="263"/>
    </row>
    <row r="145" spans="3:6">
      <c r="C145" s="261">
        <v>45933</v>
      </c>
      <c r="D145" s="262">
        <v>2089971.74</v>
      </c>
      <c r="E145" s="151"/>
      <c r="F145" s="263"/>
    </row>
    <row r="146" spans="3:6">
      <c r="C146" s="261">
        <v>45940</v>
      </c>
      <c r="D146" s="262">
        <v>1979431.74</v>
      </c>
      <c r="E146" s="151"/>
      <c r="F146" s="263"/>
    </row>
    <row r="147" spans="3:6">
      <c r="C147" s="261">
        <v>45947</v>
      </c>
      <c r="D147" s="262">
        <v>2132257.77</v>
      </c>
      <c r="E147" s="151"/>
      <c r="F147" s="263"/>
    </row>
    <row r="148" spans="3:6">
      <c r="C148" s="261">
        <v>45952</v>
      </c>
      <c r="D148" s="262">
        <v>2132257.77</v>
      </c>
      <c r="E148" s="151"/>
      <c r="F148" s="263"/>
    </row>
    <row r="149" spans="3:6">
      <c r="C149" s="261">
        <v>45961</v>
      </c>
      <c r="D149" s="262">
        <v>1995257.77</v>
      </c>
      <c r="E149" s="151"/>
      <c r="F149" s="263"/>
    </row>
    <row r="150" spans="3:6">
      <c r="C150" s="261">
        <v>45968</v>
      </c>
      <c r="D150" s="262">
        <v>1995257.77</v>
      </c>
      <c r="E150" s="151"/>
      <c r="F150" s="263"/>
    </row>
    <row r="151" spans="3:6">
      <c r="C151" s="261">
        <v>45975</v>
      </c>
      <c r="D151" s="262">
        <v>2105797.77</v>
      </c>
      <c r="E151" s="151"/>
      <c r="F151" s="263"/>
    </row>
    <row r="152" spans="3:6">
      <c r="C152" s="261">
        <v>45982</v>
      </c>
      <c r="D152" s="262">
        <v>2141433.77</v>
      </c>
      <c r="E152" s="151"/>
      <c r="F152" s="263"/>
    </row>
    <row r="153" spans="3:6">
      <c r="C153" s="261">
        <v>45989</v>
      </c>
      <c r="D153" s="262">
        <v>2051466.31</v>
      </c>
      <c r="E153" s="151"/>
      <c r="F153" s="263"/>
    </row>
    <row r="154" spans="3:6">
      <c r="C154" s="261">
        <v>45996</v>
      </c>
      <c r="D154" s="262">
        <v>2176980.31</v>
      </c>
      <c r="E154" s="151"/>
      <c r="F154" s="263"/>
    </row>
    <row r="155" spans="3:6">
      <c r="C155" s="261">
        <v>46003</v>
      </c>
      <c r="D155" s="262">
        <v>2176980.31</v>
      </c>
      <c r="E155" s="151"/>
      <c r="F155" s="263"/>
    </row>
    <row r="156" spans="3:6">
      <c r="C156" s="261">
        <v>46010</v>
      </c>
      <c r="D156" s="262">
        <v>2143819.31</v>
      </c>
      <c r="E156" s="151"/>
      <c r="F156" s="263"/>
    </row>
    <row r="157" spans="3:6">
      <c r="C157" s="261">
        <v>46017</v>
      </c>
      <c r="D157" s="262">
        <v>2199436.31</v>
      </c>
      <c r="E157" s="151"/>
      <c r="F157" s="263"/>
    </row>
    <row r="158" spans="3:6">
      <c r="C158" s="261">
        <v>46030</v>
      </c>
      <c r="D158" s="262">
        <v>2193807.1</v>
      </c>
      <c r="E158" s="151"/>
      <c r="F158" s="263"/>
    </row>
    <row r="159" spans="3:6">
      <c r="C159" s="261">
        <v>46042</v>
      </c>
      <c r="D159" s="262">
        <v>2163807.1</v>
      </c>
      <c r="E159" s="151"/>
      <c r="F159" s="263"/>
    </row>
    <row r="160" spans="3:6">
      <c r="C160" s="261">
        <v>46051</v>
      </c>
      <c r="D160" s="262">
        <v>2060421.58</v>
      </c>
      <c r="E160" s="151"/>
      <c r="F160" s="263"/>
    </row>
    <row r="161" spans="3:6">
      <c r="C161" s="261">
        <v>46066</v>
      </c>
      <c r="D161" s="262">
        <v>2095421.58</v>
      </c>
      <c r="E161" s="151"/>
      <c r="F161" s="263"/>
    </row>
    <row r="162" spans="3:6">
      <c r="C162" s="261">
        <v>46080</v>
      </c>
      <c r="D162" s="262">
        <v>2102216.58</v>
      </c>
      <c r="E162" s="151"/>
      <c r="F162" s="263"/>
    </row>
    <row r="163" spans="3:6">
      <c r="C163" s="261">
        <v>46087</v>
      </c>
      <c r="D163" s="262">
        <v>2060299.58</v>
      </c>
      <c r="E163" s="151"/>
      <c r="F163" s="263"/>
    </row>
    <row r="164" spans="3:6">
      <c r="C164" s="261">
        <v>46094</v>
      </c>
      <c r="D164" s="262">
        <v>2060299.58</v>
      </c>
      <c r="E164" s="151"/>
      <c r="F164" s="263"/>
    </row>
    <row r="165" spans="3:6">
      <c r="C165" s="261">
        <v>46114</v>
      </c>
      <c r="D165" s="262">
        <v>2050299.58</v>
      </c>
      <c r="E165" s="151"/>
      <c r="F165" s="263"/>
    </row>
    <row r="166" spans="3:6">
      <c r="C166" s="261">
        <v>46125</v>
      </c>
      <c r="D166" s="262">
        <v>2064862.75</v>
      </c>
      <c r="E166" s="151"/>
      <c r="F166" s="263"/>
    </row>
    <row r="167" spans="3:6">
      <c r="C167" s="261">
        <v>46136</v>
      </c>
      <c r="D167" s="262">
        <v>1969862.75</v>
      </c>
      <c r="E167" s="151"/>
      <c r="F167" s="263"/>
    </row>
    <row r="168" spans="3:6">
      <c r="C168" s="261">
        <v>46150</v>
      </c>
      <c r="D168" s="262">
        <v>1966418.92</v>
      </c>
      <c r="E168" s="151"/>
      <c r="F168" s="263"/>
    </row>
    <row r="169" spans="3:6">
      <c r="C169" s="261">
        <v>46157</v>
      </c>
      <c r="D169" s="262">
        <v>1966418.92</v>
      </c>
      <c r="E169" s="151"/>
      <c r="F169" s="263"/>
    </row>
    <row r="170" spans="3:6">
      <c r="C170" s="261">
        <v>46177</v>
      </c>
      <c r="D170" s="262">
        <v>1976418.92</v>
      </c>
      <c r="E170" s="151"/>
      <c r="F170" s="263"/>
    </row>
    <row r="171" spans="3:6">
      <c r="C171" s="261">
        <v>46185</v>
      </c>
      <c r="D171" s="262">
        <v>1984801.92</v>
      </c>
      <c r="E171" s="151"/>
      <c r="F171" s="263"/>
    </row>
    <row r="172" spans="3:6">
      <c r="C172" s="261">
        <v>46192</v>
      </c>
      <c r="D172" s="262">
        <v>2001601.92</v>
      </c>
      <c r="E172" s="151"/>
      <c r="F172" s="263"/>
    </row>
    <row r="173" spans="3:6">
      <c r="C173" s="261">
        <v>46199</v>
      </c>
      <c r="D173" s="262">
        <v>2045594.27</v>
      </c>
      <c r="E173" s="151"/>
      <c r="F173" s="263"/>
    </row>
    <row r="174" spans="3:6">
      <c r="C174" s="261">
        <v>46206</v>
      </c>
      <c r="D174" s="262">
        <v>1892743.52</v>
      </c>
      <c r="E174" s="151"/>
      <c r="F174" s="263"/>
    </row>
    <row r="175" spans="3:6">
      <c r="C175" s="261">
        <v>46213</v>
      </c>
      <c r="D175" s="262">
        <v>2008457.9</v>
      </c>
      <c r="E175" s="151"/>
      <c r="F175" s="263"/>
    </row>
    <row r="176" spans="3:6">
      <c r="C176" s="261">
        <v>46220</v>
      </c>
      <c r="D176" s="262">
        <v>2020799.05</v>
      </c>
      <c r="E176" s="151"/>
      <c r="F176" s="263"/>
    </row>
    <row r="177" spans="3:6">
      <c r="C177" s="261">
        <v>46227</v>
      </c>
      <c r="D177" s="262">
        <v>2020799.05</v>
      </c>
      <c r="E177" s="151"/>
      <c r="F177" s="263"/>
    </row>
    <row r="178" spans="3:6">
      <c r="C178" s="261">
        <v>46234</v>
      </c>
      <c r="D178" s="262">
        <v>1972303.3</v>
      </c>
      <c r="E178" s="151"/>
      <c r="F178" s="263"/>
    </row>
  </sheetData>
  <autoFilter xmlns:etc="http://www.wps.cn/officeDocument/2017/etCustomData" ref="A6:I76" etc:filterBottomFollowUsedRange="0">
    <extLst/>
  </autoFilter>
  <mergeCells count="95">
    <mergeCell ref="C3:G3"/>
    <mergeCell ref="C79:G79"/>
    <mergeCell ref="H79:I79"/>
    <mergeCell ref="C82:G82"/>
    <mergeCell ref="C83:G83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</mergeCells>
  <pageMargins left="0.75" right="0.75" top="1" bottom="1" header="0.5" footer="0.5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76"/>
  <sheetViews>
    <sheetView topLeftCell="A60" workbookViewId="0">
      <selection activeCell="D69" sqref="D69"/>
    </sheetView>
  </sheetViews>
  <sheetFormatPr defaultColWidth="11" defaultRowHeight="17.6"/>
  <cols>
    <col min="1" max="1" width="7.375" customWidth="1"/>
    <col min="2" max="2" width="35.625" customWidth="1"/>
    <col min="4" max="4" width="13.125" customWidth="1"/>
    <col min="5" max="5" width="4.25" customWidth="1"/>
    <col min="7" max="7" width="7.375" customWidth="1"/>
    <col min="8" max="8" width="11.875" customWidth="1"/>
    <col min="10" max="10" width="28.625" customWidth="1"/>
  </cols>
  <sheetData>
    <row r="2" ht="18.35"/>
    <row r="3" ht="18.35" spans="2:13">
      <c r="D3" s="1" t="s">
        <v>935</v>
      </c>
      <c r="E3" s="2"/>
      <c r="F3" s="2"/>
      <c r="G3" s="2"/>
      <c r="H3" s="3"/>
      <c r="I3" s="4"/>
    </row>
    <row r="4" spans="2:13">
      <c r="D4" s="5"/>
      <c r="G4" s="6"/>
      <c r="H4" s="5"/>
      <c r="I4" s="4"/>
    </row>
    <row r="5" ht="18.35" spans="2:13">
      <c r="D5" s="5"/>
      <c r="G5" s="6"/>
      <c r="H5" s="5"/>
      <c r="I5" s="4"/>
    </row>
    <row r="6" ht="18.35" spans="2:13">
      <c r="B6" s="139" t="s">
        <v>85</v>
      </c>
      <c r="C6" s="140" t="s">
        <v>86</v>
      </c>
      <c r="D6" s="141" t="s">
        <v>87</v>
      </c>
      <c r="E6" s="142" t="s">
        <v>88</v>
      </c>
      <c r="F6" s="142" t="s">
        <v>89</v>
      </c>
      <c r="G6" s="143" t="s">
        <v>90</v>
      </c>
      <c r="H6" s="144" t="s">
        <v>91</v>
      </c>
      <c r="I6" s="145" t="s">
        <v>92</v>
      </c>
      <c r="J6" s="146" t="s">
        <v>93</v>
      </c>
      <c r="M6" s="147"/>
    </row>
    <row r="7" spans="2:13">
      <c r="B7" s="86" t="s">
        <v>936</v>
      </c>
      <c r="C7" s="87" t="s">
        <v>937</v>
      </c>
      <c r="D7" s="88">
        <v>45975</v>
      </c>
      <c r="E7" s="87" t="s">
        <v>96</v>
      </c>
      <c r="F7" s="87" t="s">
        <v>103</v>
      </c>
      <c r="G7" s="89" t="s">
        <v>938</v>
      </c>
      <c r="H7" s="88">
        <v>46111</v>
      </c>
      <c r="I7" s="90">
        <v>99737.3</v>
      </c>
      <c r="J7" s="91" t="s">
        <v>939</v>
      </c>
    </row>
    <row r="8" spans="2:13">
      <c r="B8" s="70" t="s">
        <v>940</v>
      </c>
      <c r="C8" s="28"/>
      <c r="D8" s="27"/>
      <c r="E8" s="26"/>
      <c r="F8" s="28"/>
      <c r="G8" s="6"/>
      <c r="H8" s="29"/>
      <c r="I8" s="76">
        <f>SUM(I7:I7)</f>
        <v>99737.3</v>
      </c>
      <c r="J8" s="26"/>
    </row>
    <row r="9" spans="2:13">
      <c r="B9" s="148" t="s">
        <v>941</v>
      </c>
      <c r="C9" s="149" t="s">
        <v>937</v>
      </c>
      <c r="D9" s="150">
        <v>46249</v>
      </c>
      <c r="E9" s="149" t="s">
        <v>96</v>
      </c>
      <c r="F9" s="149" t="s">
        <v>103</v>
      </c>
      <c r="G9" s="16" t="s">
        <v>942</v>
      </c>
      <c r="H9" s="150">
        <v>46076</v>
      </c>
      <c r="I9" s="151">
        <v>5000</v>
      </c>
      <c r="J9" s="152" t="s">
        <v>98</v>
      </c>
    </row>
    <row r="10" spans="2:13">
      <c r="B10" s="19" t="s">
        <v>943</v>
      </c>
      <c r="C10" s="21"/>
      <c r="D10" s="22"/>
      <c r="E10" s="21"/>
      <c r="F10" s="21"/>
      <c r="G10" s="23"/>
      <c r="H10" s="22"/>
      <c r="I10" s="24">
        <f>SUM(I9:I9)</f>
        <v>5000</v>
      </c>
      <c r="J10" s="25"/>
    </row>
    <row r="11" spans="2:13">
      <c r="B11" s="77" t="s">
        <v>944</v>
      </c>
      <c r="C11" s="103" t="s">
        <v>937</v>
      </c>
      <c r="D11" s="104">
        <v>45866</v>
      </c>
      <c r="E11" s="103" t="s">
        <v>114</v>
      </c>
      <c r="F11" s="103" t="s">
        <v>103</v>
      </c>
      <c r="G11" s="61" t="s">
        <v>945</v>
      </c>
      <c r="H11" s="105">
        <v>46112</v>
      </c>
      <c r="I11" s="81">
        <v>17900</v>
      </c>
      <c r="J11" s="106" t="s">
        <v>98</v>
      </c>
    </row>
    <row r="12" spans="2:13">
      <c r="B12" s="83" t="s">
        <v>944</v>
      </c>
      <c r="C12" s="107" t="s">
        <v>937</v>
      </c>
      <c r="D12" s="108">
        <v>45866</v>
      </c>
      <c r="E12" s="107" t="s">
        <v>114</v>
      </c>
      <c r="F12" s="107" t="s">
        <v>103</v>
      </c>
      <c r="G12" s="109" t="s">
        <v>946</v>
      </c>
      <c r="H12" s="110">
        <v>46142</v>
      </c>
      <c r="I12" s="84">
        <v>17800</v>
      </c>
      <c r="J12" s="114" t="s">
        <v>98</v>
      </c>
    </row>
    <row r="13" spans="2:13">
      <c r="B13" s="86" t="s">
        <v>944</v>
      </c>
      <c r="C13" s="153" t="s">
        <v>937</v>
      </c>
      <c r="D13" s="154">
        <v>45866</v>
      </c>
      <c r="E13" s="153" t="s">
        <v>114</v>
      </c>
      <c r="F13" s="153" t="s">
        <v>103</v>
      </c>
      <c r="G13" s="67" t="s">
        <v>947</v>
      </c>
      <c r="H13" s="155">
        <v>46174</v>
      </c>
      <c r="I13" s="90">
        <v>17800</v>
      </c>
      <c r="J13" s="156" t="s">
        <v>98</v>
      </c>
    </row>
    <row r="14" spans="2:13">
      <c r="B14" s="70" t="s">
        <v>948</v>
      </c>
      <c r="C14" s="28"/>
      <c r="D14" s="27"/>
      <c r="E14" s="28"/>
      <c r="F14" s="28"/>
      <c r="G14" s="23"/>
      <c r="H14" s="29"/>
      <c r="I14" s="76">
        <f>SUM(I11:I13)</f>
        <v>53500</v>
      </c>
      <c r="J14" s="26"/>
    </row>
    <row r="15" ht="18.35" spans="2:13">
      <c r="B15" s="70"/>
      <c r="C15" s="26"/>
      <c r="D15" s="27"/>
      <c r="E15" s="26"/>
      <c r="F15" s="26"/>
      <c r="G15" s="6"/>
      <c r="H15" s="29"/>
      <c r="I15" s="31"/>
      <c r="J15" s="26"/>
    </row>
    <row r="16" ht="23.95" spans="2:13">
      <c r="B16" s="111"/>
      <c r="C16" s="26"/>
      <c r="D16" s="32" t="s">
        <v>949</v>
      </c>
      <c r="E16" s="33"/>
      <c r="F16" s="33"/>
      <c r="G16" s="33"/>
      <c r="H16" s="34"/>
      <c r="I16" s="35">
        <f>I8+I10+I14</f>
        <v>158237.3</v>
      </c>
      <c r="J16" s="36"/>
    </row>
    <row r="17" spans="2:10">
      <c r="B17" s="111"/>
      <c r="C17" s="26"/>
      <c r="D17" s="27"/>
      <c r="E17" s="26"/>
      <c r="F17" s="26"/>
      <c r="G17" s="6"/>
      <c r="H17" s="29"/>
      <c r="I17" s="30"/>
      <c r="J17" s="26"/>
    </row>
    <row r="18" ht="18.35" spans="2:10">
      <c r="B18" s="111"/>
      <c r="C18" s="26"/>
      <c r="D18" s="27"/>
      <c r="E18" s="26"/>
      <c r="F18" s="26"/>
      <c r="G18" s="6"/>
      <c r="H18" s="29"/>
      <c r="I18" s="30"/>
      <c r="J18" s="26"/>
    </row>
    <row r="19" spans="2:10">
      <c r="B19" s="111"/>
      <c r="C19" s="26"/>
      <c r="D19" s="37" t="s">
        <v>950</v>
      </c>
      <c r="E19" s="38"/>
      <c r="F19" s="38"/>
      <c r="G19" s="38"/>
      <c r="H19" s="39"/>
      <c r="I19" s="157">
        <v>158237.3</v>
      </c>
      <c r="J19" s="158">
        <f>+($I$16-I19)/I19</f>
        <v>0</v>
      </c>
    </row>
    <row r="20" spans="2:10">
      <c r="B20" s="111"/>
      <c r="C20" s="26"/>
      <c r="D20" s="42" t="s">
        <v>951</v>
      </c>
      <c r="E20" s="43"/>
      <c r="F20" s="43"/>
      <c r="G20" s="43"/>
      <c r="H20" s="44"/>
      <c r="I20" s="159">
        <v>158237.3</v>
      </c>
      <c r="J20" s="160">
        <f>+($I$16-I20)/I20</f>
        <v>0</v>
      </c>
    </row>
    <row r="21" ht="18.35" spans="2:10">
      <c r="B21" s="111"/>
      <c r="C21" s="26"/>
      <c r="D21" s="123" t="s">
        <v>952</v>
      </c>
      <c r="E21" s="124"/>
      <c r="F21" s="124"/>
      <c r="G21" s="125"/>
      <c r="H21" s="126"/>
      <c r="I21" s="161">
        <v>247037.3</v>
      </c>
      <c r="J21" s="162">
        <f t="shared" ref="J21" si="0">+($I$16-I21)/I21</f>
        <v>-0.359459887231604</v>
      </c>
    </row>
    <row r="25" spans="2:10">
      <c r="B25" s="128"/>
      <c r="C25" s="129" t="s">
        <v>510</v>
      </c>
      <c r="D25" s="130"/>
      <c r="E25" s="131"/>
      <c r="F25" s="132"/>
    </row>
    <row r="26" spans="2:10">
      <c r="B26" s="26"/>
      <c r="C26" s="27"/>
      <c r="D26" s="26"/>
      <c r="E26" s="26"/>
      <c r="F26" s="6"/>
    </row>
    <row r="27" spans="2:10">
      <c r="C27" s="49">
        <v>45827</v>
      </c>
      <c r="D27" s="52">
        <v>128900</v>
      </c>
    </row>
    <row r="28" spans="2:10">
      <c r="C28" s="49">
        <v>45842</v>
      </c>
      <c r="D28" s="52">
        <v>138780</v>
      </c>
    </row>
    <row r="29" spans="2:10">
      <c r="C29" s="49">
        <v>45848</v>
      </c>
      <c r="D29" s="52">
        <v>197753</v>
      </c>
    </row>
    <row r="30" spans="2:10">
      <c r="C30" s="49">
        <v>45856</v>
      </c>
      <c r="D30" s="52">
        <v>352988.52</v>
      </c>
    </row>
    <row r="31" spans="2:10">
      <c r="C31" s="53">
        <v>45863</v>
      </c>
      <c r="D31" s="52">
        <v>437988.52</v>
      </c>
    </row>
    <row r="32" spans="2:10">
      <c r="C32" s="53">
        <v>45880</v>
      </c>
      <c r="D32" s="52">
        <v>520602.79</v>
      </c>
    </row>
    <row r="33" spans="3:4">
      <c r="C33" s="53">
        <v>45891</v>
      </c>
      <c r="D33" s="52">
        <v>520602.79</v>
      </c>
    </row>
    <row r="34" spans="3:4">
      <c r="C34" s="53">
        <v>45919</v>
      </c>
      <c r="D34" s="52">
        <v>592007.79</v>
      </c>
    </row>
    <row r="35" spans="3:4">
      <c r="C35" s="53">
        <v>45925</v>
      </c>
      <c r="D35" s="52">
        <v>512325.27</v>
      </c>
    </row>
    <row r="36" spans="3:4">
      <c r="C36" s="49">
        <v>45933</v>
      </c>
      <c r="D36" s="52">
        <v>448772.27</v>
      </c>
    </row>
    <row r="37" spans="3:4">
      <c r="C37" s="49">
        <v>45940</v>
      </c>
      <c r="D37" s="52">
        <v>394772.27</v>
      </c>
    </row>
    <row r="38" spans="3:4">
      <c r="C38" s="53">
        <v>45947</v>
      </c>
      <c r="D38" s="52">
        <v>334085.27</v>
      </c>
    </row>
    <row r="39" spans="3:4">
      <c r="C39" s="53">
        <v>45952</v>
      </c>
      <c r="D39" s="52">
        <v>334085.27</v>
      </c>
    </row>
    <row r="40" spans="3:4">
      <c r="C40" s="53">
        <v>45961</v>
      </c>
      <c r="D40" s="52">
        <v>251927.27</v>
      </c>
    </row>
    <row r="41" spans="3:4">
      <c r="C41" s="53">
        <v>45968</v>
      </c>
      <c r="D41" s="52">
        <v>225547.27</v>
      </c>
    </row>
    <row r="42" spans="3:4">
      <c r="C42" s="53">
        <v>45975</v>
      </c>
      <c r="D42" s="52">
        <v>144927.27</v>
      </c>
    </row>
    <row r="43" spans="3:4">
      <c r="C43" s="53">
        <v>45982</v>
      </c>
      <c r="D43" s="52">
        <v>119767.27</v>
      </c>
    </row>
    <row r="44" spans="3:4">
      <c r="C44" s="53">
        <v>45989</v>
      </c>
      <c r="D44" s="52">
        <v>112767.27</v>
      </c>
    </row>
    <row r="45" spans="3:4">
      <c r="C45" s="53">
        <v>45996</v>
      </c>
      <c r="D45" s="52">
        <v>104367.27</v>
      </c>
    </row>
    <row r="46" spans="3:4">
      <c r="C46" s="53">
        <v>46003</v>
      </c>
      <c r="D46" s="52">
        <v>64367.27</v>
      </c>
    </row>
    <row r="47" spans="3:4">
      <c r="C47" s="53">
        <v>46010</v>
      </c>
      <c r="D47" s="52">
        <v>64367.27</v>
      </c>
    </row>
    <row r="48" spans="3:4">
      <c r="C48" s="53">
        <v>46017</v>
      </c>
      <c r="D48" s="52">
        <v>104390.14</v>
      </c>
    </row>
    <row r="49" spans="3:4">
      <c r="C49" s="53">
        <v>46030</v>
      </c>
      <c r="D49" s="52">
        <v>160556.62</v>
      </c>
    </row>
    <row r="50" spans="3:4">
      <c r="C50" s="53">
        <v>46042</v>
      </c>
      <c r="D50" s="52">
        <v>80556.62</v>
      </c>
    </row>
    <row r="51" spans="3:4">
      <c r="C51" s="53">
        <v>46051</v>
      </c>
      <c r="D51" s="52">
        <v>160331.51</v>
      </c>
    </row>
    <row r="52" spans="3:4">
      <c r="C52" s="53">
        <v>46066</v>
      </c>
      <c r="D52" s="52">
        <v>188697.76</v>
      </c>
    </row>
    <row r="53" spans="3:4">
      <c r="C53" s="53">
        <v>46080</v>
      </c>
      <c r="D53" s="52">
        <v>148697.76</v>
      </c>
    </row>
    <row r="54" spans="3:4">
      <c r="C54" s="53">
        <v>46087</v>
      </c>
      <c r="D54" s="52">
        <v>63102.87</v>
      </c>
    </row>
    <row r="55" spans="3:4">
      <c r="C55" s="53">
        <v>46094</v>
      </c>
      <c r="D55" s="52">
        <v>85702.87</v>
      </c>
    </row>
    <row r="56" spans="3:4">
      <c r="C56" s="53">
        <v>46114</v>
      </c>
      <c r="D56" s="52">
        <v>85702.87</v>
      </c>
    </row>
    <row r="57" spans="3:4">
      <c r="C57" s="53">
        <v>46125</v>
      </c>
      <c r="D57" s="52">
        <v>299198.17</v>
      </c>
    </row>
    <row r="58" spans="3:4">
      <c r="C58" s="53">
        <v>46136</v>
      </c>
      <c r="D58" s="52">
        <v>186398.17</v>
      </c>
    </row>
    <row r="59" spans="3:4">
      <c r="C59" s="53">
        <v>46150</v>
      </c>
      <c r="D59" s="52">
        <v>186398.17</v>
      </c>
    </row>
    <row r="60" spans="3:4">
      <c r="C60" s="53">
        <v>46157</v>
      </c>
      <c r="D60" s="52">
        <v>244198.17</v>
      </c>
    </row>
    <row r="61" spans="3:4">
      <c r="C61" s="53">
        <v>46177</v>
      </c>
      <c r="D61" s="52">
        <v>242037.3</v>
      </c>
    </row>
    <row r="62" spans="3:4">
      <c r="C62" s="53">
        <v>46185</v>
      </c>
      <c r="D62" s="52">
        <v>219837.3</v>
      </c>
    </row>
    <row r="63" spans="3:4">
      <c r="C63" s="53">
        <v>46192</v>
      </c>
      <c r="D63" s="52">
        <v>217037.3</v>
      </c>
    </row>
    <row r="64" spans="3:4">
      <c r="C64" s="53">
        <v>46199</v>
      </c>
      <c r="D64" s="52">
        <v>232057.3</v>
      </c>
    </row>
    <row r="65" spans="3:4">
      <c r="C65" s="53">
        <v>46206</v>
      </c>
      <c r="D65" s="52">
        <v>193057.3</v>
      </c>
    </row>
    <row r="66" spans="3:4">
      <c r="C66" s="53">
        <v>46213</v>
      </c>
      <c r="D66" s="163">
        <v>247037.3</v>
      </c>
    </row>
    <row r="67" spans="3:4">
      <c r="C67" s="53">
        <v>46220</v>
      </c>
      <c r="D67" s="52">
        <v>158237.3</v>
      </c>
    </row>
    <row r="68" spans="3:4">
      <c r="C68" s="53">
        <v>46227</v>
      </c>
      <c r="D68" s="52">
        <v>158237.3</v>
      </c>
    </row>
    <row r="69" spans="3:4">
      <c r="C69" s="53">
        <v>46234</v>
      </c>
      <c r="D69" s="52">
        <v>158237.3</v>
      </c>
    </row>
    <row r="70" spans="3:4">
      <c r="C70" s="5"/>
    </row>
    <row r="71" spans="3:4">
      <c r="C71" s="5"/>
    </row>
    <row r="72" spans="3:4">
      <c r="C72" s="5"/>
    </row>
    <row r="73" spans="3:4">
      <c r="C73" s="5"/>
    </row>
    <row r="74" spans="3:4">
      <c r="C74" s="5"/>
    </row>
    <row r="75" spans="3:4">
      <c r="C75" s="5"/>
    </row>
    <row r="76" spans="3:4">
      <c r="C76" s="5"/>
    </row>
  </sheetData>
  <mergeCells count="5">
    <mergeCell ref="D3:H3"/>
    <mergeCell ref="D16:H16"/>
    <mergeCell ref="I16:J16"/>
    <mergeCell ref="D19:H19"/>
    <mergeCell ref="D20:H20"/>
  </mergeCells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24"/>
  <sheetViews>
    <sheetView topLeftCell="A96" workbookViewId="0">
      <selection activeCell="D112" sqref="D112"/>
    </sheetView>
  </sheetViews>
  <sheetFormatPr defaultColWidth="11" defaultRowHeight="17.6"/>
  <cols>
    <col min="2" max="2" width="33.125" customWidth="1"/>
    <col min="3" max="3" width="11" style="48"/>
    <col min="4" max="4" width="13.375" customWidth="1"/>
    <col min="9" max="9" width="11.375" customWidth="1"/>
    <col min="10" max="10" width="39.625" customWidth="1"/>
  </cols>
  <sheetData>
    <row r="2" ht="18.35"/>
    <row r="3" ht="18.35" spans="2:10">
      <c r="D3" s="1" t="s">
        <v>953</v>
      </c>
      <c r="E3" s="2"/>
      <c r="F3" s="2"/>
      <c r="G3" s="2"/>
      <c r="H3" s="3"/>
      <c r="I3" s="4"/>
    </row>
    <row r="4" spans="2:10">
      <c r="D4" s="5"/>
      <c r="G4" s="6"/>
      <c r="H4" s="5"/>
      <c r="I4" s="4"/>
    </row>
    <row r="5" ht="18.35" spans="2:10">
      <c r="D5" s="5"/>
      <c r="G5" s="6"/>
      <c r="H5" s="5"/>
      <c r="I5" s="4"/>
    </row>
    <row r="6" spans="2:10">
      <c r="B6" s="7" t="s">
        <v>85</v>
      </c>
      <c r="C6" s="8" t="s">
        <v>86</v>
      </c>
      <c r="D6" s="9" t="s">
        <v>87</v>
      </c>
      <c r="E6" s="8" t="s">
        <v>88</v>
      </c>
      <c r="F6" s="8" t="s">
        <v>89</v>
      </c>
      <c r="G6" s="10" t="s">
        <v>90</v>
      </c>
      <c r="H6" s="9" t="s">
        <v>91</v>
      </c>
      <c r="I6" s="11" t="s">
        <v>92</v>
      </c>
      <c r="J6" s="12" t="s">
        <v>93</v>
      </c>
    </row>
    <row r="7" spans="2:10">
      <c r="B7" s="58" t="s">
        <v>954</v>
      </c>
      <c r="C7" s="59" t="s">
        <v>955</v>
      </c>
      <c r="D7" s="60">
        <v>45712</v>
      </c>
      <c r="E7" s="59" t="s">
        <v>96</v>
      </c>
      <c r="F7" s="59" t="s">
        <v>185</v>
      </c>
      <c r="G7" s="61" t="s">
        <v>956</v>
      </c>
      <c r="H7" s="60">
        <v>45755</v>
      </c>
      <c r="I7" s="62">
        <v>6500</v>
      </c>
      <c r="J7" s="63" t="s">
        <v>98</v>
      </c>
    </row>
    <row r="8" spans="2:10">
      <c r="B8" s="64" t="s">
        <v>957</v>
      </c>
      <c r="C8" s="65" t="s">
        <v>955</v>
      </c>
      <c r="D8" s="66">
        <v>45776</v>
      </c>
      <c r="E8" s="65" t="s">
        <v>96</v>
      </c>
      <c r="F8" s="65" t="s">
        <v>103</v>
      </c>
      <c r="G8" s="67" t="s">
        <v>958</v>
      </c>
      <c r="H8" s="66">
        <v>45848</v>
      </c>
      <c r="I8" s="68">
        <v>5000</v>
      </c>
      <c r="J8" s="69" t="s">
        <v>493</v>
      </c>
    </row>
    <row r="9" spans="2:10">
      <c r="B9" s="70" t="s">
        <v>959</v>
      </c>
      <c r="C9" s="71"/>
      <c r="D9" s="72"/>
      <c r="E9" s="73"/>
      <c r="F9" s="73"/>
      <c r="G9" s="74"/>
      <c r="H9" s="75"/>
      <c r="I9" s="76">
        <f>SUM(I7:I8)</f>
        <v>11500</v>
      </c>
      <c r="J9" s="73"/>
    </row>
    <row r="10" spans="2:10">
      <c r="B10" s="77" t="s">
        <v>960</v>
      </c>
      <c r="C10" s="78" t="s">
        <v>955</v>
      </c>
      <c r="D10" s="79">
        <v>45254</v>
      </c>
      <c r="E10" s="78" t="s">
        <v>114</v>
      </c>
      <c r="F10" s="78" t="s">
        <v>103</v>
      </c>
      <c r="G10" s="80" t="s">
        <v>961</v>
      </c>
      <c r="H10" s="79">
        <v>45337</v>
      </c>
      <c r="I10" s="81">
        <v>141288</v>
      </c>
      <c r="J10" s="82" t="s">
        <v>98</v>
      </c>
    </row>
    <row r="11" spans="2:10">
      <c r="B11" s="83" t="s">
        <v>960</v>
      </c>
      <c r="C11" s="28" t="s">
        <v>955</v>
      </c>
      <c r="D11" s="27">
        <v>45245</v>
      </c>
      <c r="E11" s="28" t="s">
        <v>114</v>
      </c>
      <c r="F11" s="28" t="s">
        <v>103</v>
      </c>
      <c r="G11" s="23" t="s">
        <v>962</v>
      </c>
      <c r="H11" s="27">
        <v>45332</v>
      </c>
      <c r="I11" s="84">
        <v>136416</v>
      </c>
      <c r="J11" s="85" t="s">
        <v>98</v>
      </c>
    </row>
    <row r="12" spans="2:10">
      <c r="B12" s="86" t="s">
        <v>960</v>
      </c>
      <c r="C12" s="87" t="s">
        <v>955</v>
      </c>
      <c r="D12" s="88">
        <v>45258</v>
      </c>
      <c r="E12" s="87" t="s">
        <v>114</v>
      </c>
      <c r="F12" s="87" t="s">
        <v>103</v>
      </c>
      <c r="G12" s="89" t="s">
        <v>963</v>
      </c>
      <c r="H12" s="88">
        <v>45355</v>
      </c>
      <c r="I12" s="90">
        <v>93528</v>
      </c>
      <c r="J12" s="91" t="s">
        <v>98</v>
      </c>
    </row>
    <row r="13" spans="2:10">
      <c r="B13" s="70" t="s">
        <v>964</v>
      </c>
      <c r="C13" s="28"/>
      <c r="D13" s="27"/>
      <c r="E13" s="26"/>
      <c r="F13" s="26"/>
      <c r="G13" s="6"/>
      <c r="H13" s="29"/>
      <c r="I13" s="76">
        <f>SUM(I10:I12)</f>
        <v>371232</v>
      </c>
      <c r="J13" s="26"/>
    </row>
    <row r="14" spans="2:10">
      <c r="B14" s="77" t="s">
        <v>965</v>
      </c>
      <c r="C14" s="78" t="s">
        <v>955</v>
      </c>
      <c r="D14" s="79">
        <v>45306</v>
      </c>
      <c r="E14" s="78" t="s">
        <v>114</v>
      </c>
      <c r="F14" s="78" t="s">
        <v>103</v>
      </c>
      <c r="G14" s="80" t="s">
        <v>966</v>
      </c>
      <c r="H14" s="92">
        <v>45391</v>
      </c>
      <c r="I14" s="81">
        <v>30000</v>
      </c>
      <c r="J14" s="82" t="s">
        <v>98</v>
      </c>
    </row>
    <row r="15" spans="2:10">
      <c r="B15" s="83" t="s">
        <v>965</v>
      </c>
      <c r="C15" s="28" t="s">
        <v>955</v>
      </c>
      <c r="D15" s="27">
        <v>45306</v>
      </c>
      <c r="E15" s="28" t="s">
        <v>114</v>
      </c>
      <c r="F15" s="28" t="s">
        <v>103</v>
      </c>
      <c r="G15" s="23" t="s">
        <v>967</v>
      </c>
      <c r="H15" s="29">
        <v>45393</v>
      </c>
      <c r="I15" s="84">
        <v>30000</v>
      </c>
      <c r="J15" s="85" t="s">
        <v>98</v>
      </c>
    </row>
    <row r="16" spans="2:10">
      <c r="B16" s="83" t="s">
        <v>965</v>
      </c>
      <c r="C16" s="28" t="s">
        <v>955</v>
      </c>
      <c r="D16" s="27">
        <v>45306</v>
      </c>
      <c r="E16" s="28" t="s">
        <v>114</v>
      </c>
      <c r="F16" s="28" t="s">
        <v>103</v>
      </c>
      <c r="G16" s="23" t="s">
        <v>968</v>
      </c>
      <c r="H16" s="29">
        <v>45398</v>
      </c>
      <c r="I16" s="84">
        <v>30000</v>
      </c>
      <c r="J16" s="85" t="s">
        <v>98</v>
      </c>
    </row>
    <row r="17" spans="2:10">
      <c r="B17" s="83" t="s">
        <v>965</v>
      </c>
      <c r="C17" s="28" t="s">
        <v>955</v>
      </c>
      <c r="D17" s="27">
        <v>45337</v>
      </c>
      <c r="E17" s="28" t="s">
        <v>114</v>
      </c>
      <c r="F17" s="28" t="s">
        <v>103</v>
      </c>
      <c r="G17" s="23" t="s">
        <v>969</v>
      </c>
      <c r="H17" s="29">
        <v>45420</v>
      </c>
      <c r="I17" s="84">
        <v>50000</v>
      </c>
      <c r="J17" s="85" t="s">
        <v>98</v>
      </c>
    </row>
    <row r="18" spans="2:10">
      <c r="B18" s="83" t="s">
        <v>965</v>
      </c>
      <c r="C18" s="28" t="s">
        <v>955</v>
      </c>
      <c r="D18" s="27">
        <v>45371</v>
      </c>
      <c r="E18" s="28" t="s">
        <v>114</v>
      </c>
      <c r="F18" s="28" t="s">
        <v>103</v>
      </c>
      <c r="G18" s="23" t="s">
        <v>970</v>
      </c>
      <c r="H18" s="29">
        <v>45427</v>
      </c>
      <c r="I18" s="84">
        <v>50000</v>
      </c>
      <c r="J18" s="85" t="s">
        <v>98</v>
      </c>
    </row>
    <row r="19" spans="2:10">
      <c r="B19" s="83" t="s">
        <v>965</v>
      </c>
      <c r="C19" s="28" t="s">
        <v>955</v>
      </c>
      <c r="D19" s="27">
        <v>45377</v>
      </c>
      <c r="E19" s="28" t="s">
        <v>114</v>
      </c>
      <c r="F19" s="28" t="s">
        <v>103</v>
      </c>
      <c r="G19" s="23" t="s">
        <v>971</v>
      </c>
      <c r="H19" s="29">
        <v>45434</v>
      </c>
      <c r="I19" s="84">
        <v>50000</v>
      </c>
      <c r="J19" s="85" t="s">
        <v>98</v>
      </c>
    </row>
    <row r="20" spans="2:10">
      <c r="B20" s="83" t="s">
        <v>965</v>
      </c>
      <c r="C20" s="28" t="s">
        <v>955</v>
      </c>
      <c r="D20" s="27">
        <v>45325</v>
      </c>
      <c r="E20" s="28" t="s">
        <v>114</v>
      </c>
      <c r="F20" s="28" t="s">
        <v>103</v>
      </c>
      <c r="G20" s="23" t="s">
        <v>972</v>
      </c>
      <c r="H20" s="29">
        <v>45434</v>
      </c>
      <c r="I20" s="84">
        <v>50000</v>
      </c>
      <c r="J20" s="85" t="s">
        <v>98</v>
      </c>
    </row>
    <row r="21" spans="2:10">
      <c r="B21" s="83" t="s">
        <v>965</v>
      </c>
      <c r="C21" s="28" t="s">
        <v>955</v>
      </c>
      <c r="D21" s="27">
        <v>45309</v>
      </c>
      <c r="E21" s="28" t="s">
        <v>114</v>
      </c>
      <c r="F21" s="28" t="s">
        <v>103</v>
      </c>
      <c r="G21" s="23" t="s">
        <v>973</v>
      </c>
      <c r="H21" s="29">
        <v>45434</v>
      </c>
      <c r="I21" s="84">
        <v>140000</v>
      </c>
      <c r="J21" s="85" t="s">
        <v>98</v>
      </c>
    </row>
    <row r="22" spans="2:10">
      <c r="B22" s="86" t="s">
        <v>965</v>
      </c>
      <c r="C22" s="87" t="s">
        <v>955</v>
      </c>
      <c r="D22" s="88">
        <v>45325</v>
      </c>
      <c r="E22" s="87" t="s">
        <v>114</v>
      </c>
      <c r="F22" s="87" t="s">
        <v>103</v>
      </c>
      <c r="G22" s="89" t="s">
        <v>974</v>
      </c>
      <c r="H22" s="93">
        <v>45434</v>
      </c>
      <c r="I22" s="90">
        <v>67277.39</v>
      </c>
      <c r="J22" s="91" t="s">
        <v>98</v>
      </c>
    </row>
    <row r="23" spans="2:10">
      <c r="B23" s="70" t="s">
        <v>975</v>
      </c>
      <c r="C23" s="28"/>
      <c r="D23" s="27"/>
      <c r="E23" s="26"/>
      <c r="F23" s="26"/>
      <c r="G23" s="6"/>
      <c r="H23" s="29"/>
      <c r="I23" s="76">
        <f>SUM(I14:I22)</f>
        <v>497277.39</v>
      </c>
      <c r="J23" s="26"/>
    </row>
    <row r="24" spans="2:10">
      <c r="B24" s="94" t="s">
        <v>976</v>
      </c>
      <c r="C24" s="78" t="s">
        <v>955</v>
      </c>
      <c r="D24" s="79" t="s">
        <v>358</v>
      </c>
      <c r="E24" s="78" t="s">
        <v>114</v>
      </c>
      <c r="F24" s="78" t="s">
        <v>115</v>
      </c>
      <c r="G24" s="80" t="s">
        <v>977</v>
      </c>
      <c r="H24" s="79">
        <v>46068</v>
      </c>
      <c r="I24" s="95">
        <v>24500</v>
      </c>
      <c r="J24" s="96" t="s">
        <v>978</v>
      </c>
    </row>
    <row r="25" spans="2:10">
      <c r="B25" s="97" t="s">
        <v>979</v>
      </c>
      <c r="C25" s="28" t="s">
        <v>955</v>
      </c>
      <c r="D25" s="27">
        <v>45945</v>
      </c>
      <c r="E25" s="28" t="s">
        <v>96</v>
      </c>
      <c r="F25" s="28" t="s">
        <v>103</v>
      </c>
      <c r="G25" s="23" t="s">
        <v>980</v>
      </c>
      <c r="H25" s="27">
        <v>46101</v>
      </c>
      <c r="I25" s="98">
        <v>20700</v>
      </c>
      <c r="J25" s="99" t="s">
        <v>98</v>
      </c>
    </row>
    <row r="26" spans="2:10">
      <c r="B26" s="100" t="s">
        <v>981</v>
      </c>
      <c r="C26" s="87" t="s">
        <v>955</v>
      </c>
      <c r="D26" s="88">
        <v>45972</v>
      </c>
      <c r="E26" s="87" t="s">
        <v>114</v>
      </c>
      <c r="F26" s="87" t="s">
        <v>648</v>
      </c>
      <c r="G26" s="89" t="s">
        <v>982</v>
      </c>
      <c r="H26" s="88">
        <v>46122</v>
      </c>
      <c r="I26" s="101">
        <v>21089</v>
      </c>
      <c r="J26" s="102" t="s">
        <v>98</v>
      </c>
    </row>
    <row r="27" spans="2:10">
      <c r="B27" s="70" t="s">
        <v>983</v>
      </c>
      <c r="C27" s="28"/>
      <c r="D27" s="27"/>
      <c r="E27" s="26"/>
      <c r="F27" s="26"/>
      <c r="G27" s="6"/>
      <c r="H27" s="29"/>
      <c r="I27" s="76">
        <f>SUM(I24:I26)</f>
        <v>66289</v>
      </c>
      <c r="J27" s="26"/>
    </row>
    <row r="28" spans="2:10">
      <c r="B28" s="77" t="s">
        <v>984</v>
      </c>
      <c r="C28" s="103" t="s">
        <v>955</v>
      </c>
      <c r="D28" s="104">
        <v>45539</v>
      </c>
      <c r="E28" s="103" t="s">
        <v>114</v>
      </c>
      <c r="F28" s="103" t="s">
        <v>103</v>
      </c>
      <c r="G28" s="61" t="s">
        <v>985</v>
      </c>
      <c r="H28" s="105">
        <v>45656</v>
      </c>
      <c r="I28" s="81">
        <v>25000</v>
      </c>
      <c r="J28" s="106" t="s">
        <v>98</v>
      </c>
    </row>
    <row r="29" spans="2:10">
      <c r="B29" s="86" t="s">
        <v>986</v>
      </c>
      <c r="C29" s="87" t="s">
        <v>955</v>
      </c>
      <c r="D29" s="88">
        <v>45664</v>
      </c>
      <c r="E29" s="87" t="s">
        <v>114</v>
      </c>
      <c r="F29" s="87" t="s">
        <v>103</v>
      </c>
      <c r="G29" s="89" t="s">
        <v>987</v>
      </c>
      <c r="H29" s="93">
        <v>45723</v>
      </c>
      <c r="I29" s="90">
        <v>8200</v>
      </c>
      <c r="J29" s="91" t="s">
        <v>988</v>
      </c>
    </row>
    <row r="30" spans="2:10">
      <c r="B30" s="70" t="s">
        <v>989</v>
      </c>
      <c r="C30" s="107"/>
      <c r="D30" s="108"/>
      <c r="E30" s="107"/>
      <c r="F30" s="107"/>
      <c r="G30" s="109"/>
      <c r="H30" s="110"/>
      <c r="I30" s="76">
        <f>SUM(I28:I29)</f>
        <v>33200</v>
      </c>
      <c r="J30" s="111"/>
    </row>
    <row r="31" spans="2:10">
      <c r="B31" s="112" t="s">
        <v>990</v>
      </c>
      <c r="C31" s="78" t="s">
        <v>955</v>
      </c>
      <c r="D31" s="79">
        <v>45888</v>
      </c>
      <c r="E31" s="78" t="s">
        <v>114</v>
      </c>
      <c r="F31" s="78" t="s">
        <v>185</v>
      </c>
      <c r="G31" s="80" t="s">
        <v>991</v>
      </c>
      <c r="H31" s="92">
        <v>45989</v>
      </c>
      <c r="I31" s="113">
        <v>40700</v>
      </c>
      <c r="J31" s="82" t="s">
        <v>992</v>
      </c>
    </row>
    <row r="32" spans="2:10">
      <c r="B32" s="77" t="s">
        <v>993</v>
      </c>
      <c r="C32" s="78" t="s">
        <v>955</v>
      </c>
      <c r="D32" s="79">
        <v>45623</v>
      </c>
      <c r="E32" s="78" t="s">
        <v>114</v>
      </c>
      <c r="F32" s="78" t="s">
        <v>103</v>
      </c>
      <c r="G32" s="80" t="s">
        <v>994</v>
      </c>
      <c r="H32" s="92">
        <v>46041</v>
      </c>
      <c r="I32" s="81">
        <v>40000</v>
      </c>
      <c r="J32" s="82"/>
    </row>
    <row r="33" spans="2:10">
      <c r="B33" s="83" t="s">
        <v>993</v>
      </c>
      <c r="C33" s="28" t="s">
        <v>955</v>
      </c>
      <c r="D33" s="27">
        <v>45623</v>
      </c>
      <c r="E33" s="28" t="s">
        <v>114</v>
      </c>
      <c r="F33" s="28" t="s">
        <v>103</v>
      </c>
      <c r="G33" s="23" t="s">
        <v>995</v>
      </c>
      <c r="H33" s="29">
        <v>46041</v>
      </c>
      <c r="I33" s="84">
        <v>40000</v>
      </c>
      <c r="J33" s="85"/>
    </row>
    <row r="34" spans="2:10">
      <c r="B34" s="83" t="s">
        <v>993</v>
      </c>
      <c r="C34" s="28" t="s">
        <v>955</v>
      </c>
      <c r="D34" s="27">
        <v>45623</v>
      </c>
      <c r="E34" s="28" t="s">
        <v>114</v>
      </c>
      <c r="F34" s="28" t="s">
        <v>103</v>
      </c>
      <c r="G34" s="23" t="s">
        <v>996</v>
      </c>
      <c r="H34" s="29">
        <v>46041</v>
      </c>
      <c r="I34" s="84">
        <v>40000</v>
      </c>
      <c r="J34" s="85"/>
    </row>
    <row r="35" spans="2:10">
      <c r="B35" s="83" t="s">
        <v>993</v>
      </c>
      <c r="C35" s="28" t="s">
        <v>955</v>
      </c>
      <c r="D35" s="27">
        <v>45623</v>
      </c>
      <c r="E35" s="28" t="s">
        <v>114</v>
      </c>
      <c r="F35" s="28" t="s">
        <v>103</v>
      </c>
      <c r="G35" s="23" t="s">
        <v>997</v>
      </c>
      <c r="H35" s="29">
        <v>46041</v>
      </c>
      <c r="I35" s="84">
        <v>40000</v>
      </c>
      <c r="J35" s="85"/>
    </row>
    <row r="36" spans="2:10">
      <c r="B36" s="86" t="s">
        <v>993</v>
      </c>
      <c r="C36" s="87" t="s">
        <v>955</v>
      </c>
      <c r="D36" s="88">
        <v>45623</v>
      </c>
      <c r="E36" s="87" t="s">
        <v>114</v>
      </c>
      <c r="F36" s="87" t="s">
        <v>103</v>
      </c>
      <c r="G36" s="89" t="s">
        <v>998</v>
      </c>
      <c r="H36" s="93">
        <v>46041</v>
      </c>
      <c r="I36" s="90">
        <v>40000</v>
      </c>
      <c r="J36" s="91"/>
    </row>
    <row r="37" spans="2:10">
      <c r="B37" s="70" t="s">
        <v>999</v>
      </c>
      <c r="C37" s="28"/>
      <c r="D37" s="27"/>
      <c r="E37" s="26"/>
      <c r="F37" s="26"/>
      <c r="G37" s="6"/>
      <c r="H37" s="29"/>
      <c r="I37" s="76">
        <f>SUM(I32:I36)</f>
        <v>200000</v>
      </c>
      <c r="J37" s="26"/>
    </row>
    <row r="38" spans="2:10">
      <c r="B38" s="77" t="s">
        <v>1000</v>
      </c>
      <c r="C38" s="103" t="s">
        <v>955</v>
      </c>
      <c r="D38" s="104">
        <v>45952</v>
      </c>
      <c r="E38" s="103" t="s">
        <v>114</v>
      </c>
      <c r="F38" s="103" t="s">
        <v>103</v>
      </c>
      <c r="G38" s="61" t="s">
        <v>1001</v>
      </c>
      <c r="H38" s="105">
        <v>46063</v>
      </c>
      <c r="I38" s="81">
        <v>11664</v>
      </c>
      <c r="J38" s="106" t="s">
        <v>1002</v>
      </c>
    </row>
    <row r="39" spans="2:10">
      <c r="B39" s="83" t="s">
        <v>1003</v>
      </c>
      <c r="C39" s="107" t="s">
        <v>955</v>
      </c>
      <c r="D39" s="108">
        <v>45903</v>
      </c>
      <c r="E39" s="107" t="s">
        <v>96</v>
      </c>
      <c r="F39" s="107" t="s">
        <v>103</v>
      </c>
      <c r="G39" s="109" t="s">
        <v>1004</v>
      </c>
      <c r="H39" s="110">
        <v>46154</v>
      </c>
      <c r="I39" s="84">
        <v>35000</v>
      </c>
      <c r="J39" s="114" t="s">
        <v>98</v>
      </c>
    </row>
    <row r="40" spans="2:10">
      <c r="B40" s="83" t="s">
        <v>1003</v>
      </c>
      <c r="C40" s="107" t="s">
        <v>955</v>
      </c>
      <c r="D40" s="108">
        <v>45903</v>
      </c>
      <c r="E40" s="107" t="s">
        <v>96</v>
      </c>
      <c r="F40" s="107" t="s">
        <v>103</v>
      </c>
      <c r="G40" s="109" t="s">
        <v>1005</v>
      </c>
      <c r="H40" s="110">
        <v>46161</v>
      </c>
      <c r="I40" s="84">
        <v>36000</v>
      </c>
      <c r="J40" s="114" t="s">
        <v>98</v>
      </c>
    </row>
    <row r="41" spans="2:10">
      <c r="B41" s="83" t="s">
        <v>1003</v>
      </c>
      <c r="C41" s="107" t="s">
        <v>955</v>
      </c>
      <c r="D41" s="108">
        <v>45903</v>
      </c>
      <c r="E41" s="107" t="s">
        <v>96</v>
      </c>
      <c r="F41" s="107" t="s">
        <v>103</v>
      </c>
      <c r="G41" s="109" t="s">
        <v>1006</v>
      </c>
      <c r="H41" s="110">
        <v>46182</v>
      </c>
      <c r="I41" s="84">
        <v>36000</v>
      </c>
      <c r="J41" s="114" t="s">
        <v>98</v>
      </c>
    </row>
    <row r="42" spans="2:10">
      <c r="B42" s="83" t="s">
        <v>1003</v>
      </c>
      <c r="C42" s="107" t="s">
        <v>955</v>
      </c>
      <c r="D42" s="108">
        <v>45903</v>
      </c>
      <c r="E42" s="107" t="s">
        <v>96</v>
      </c>
      <c r="F42" s="107" t="s">
        <v>103</v>
      </c>
      <c r="G42" s="109" t="s">
        <v>1007</v>
      </c>
      <c r="H42" s="110">
        <v>46189</v>
      </c>
      <c r="I42" s="84">
        <v>36500</v>
      </c>
      <c r="J42" s="114" t="s">
        <v>98</v>
      </c>
    </row>
    <row r="43" spans="2:10">
      <c r="B43" s="83" t="s">
        <v>1003</v>
      </c>
      <c r="C43" s="107" t="s">
        <v>955</v>
      </c>
      <c r="D43" s="108">
        <v>45903</v>
      </c>
      <c r="E43" s="107" t="s">
        <v>96</v>
      </c>
      <c r="F43" s="107" t="s">
        <v>103</v>
      </c>
      <c r="G43" s="109" t="s">
        <v>1008</v>
      </c>
      <c r="H43" s="110">
        <v>46203</v>
      </c>
      <c r="I43" s="84">
        <v>37000</v>
      </c>
      <c r="J43" s="114" t="s">
        <v>98</v>
      </c>
    </row>
    <row r="44" spans="2:10">
      <c r="B44" s="83" t="s">
        <v>1003</v>
      </c>
      <c r="C44" s="107" t="s">
        <v>955</v>
      </c>
      <c r="D44" s="108">
        <v>45903</v>
      </c>
      <c r="E44" s="107" t="s">
        <v>96</v>
      </c>
      <c r="F44" s="107" t="s">
        <v>103</v>
      </c>
      <c r="G44" s="109" t="s">
        <v>1009</v>
      </c>
      <c r="H44" s="110">
        <v>46210</v>
      </c>
      <c r="I44" s="84">
        <v>37000</v>
      </c>
      <c r="J44" s="114" t="s">
        <v>98</v>
      </c>
    </row>
    <row r="45" spans="2:10">
      <c r="B45" s="115" t="s">
        <v>1003</v>
      </c>
      <c r="C45" s="116" t="s">
        <v>955</v>
      </c>
      <c r="D45" s="117">
        <v>45903</v>
      </c>
      <c r="E45" s="116" t="s">
        <v>96</v>
      </c>
      <c r="F45" s="116" t="s">
        <v>103</v>
      </c>
      <c r="G45" s="118" t="s">
        <v>1010</v>
      </c>
      <c r="H45" s="119">
        <v>46217</v>
      </c>
      <c r="I45" s="120">
        <v>59315.75</v>
      </c>
      <c r="J45" s="121" t="s">
        <v>98</v>
      </c>
    </row>
    <row r="46" spans="2:10">
      <c r="B46" s="70" t="s">
        <v>1011</v>
      </c>
      <c r="C46" s="28"/>
      <c r="D46" s="27"/>
      <c r="E46" s="28"/>
      <c r="F46" s="28"/>
      <c r="G46" s="23"/>
      <c r="H46" s="29"/>
      <c r="I46" s="76">
        <f>SUM(I38:I45)</f>
        <v>288479.75</v>
      </c>
      <c r="J46" s="26"/>
    </row>
    <row r="47" spans="2:10">
      <c r="B47" s="70"/>
      <c r="C47" s="28"/>
      <c r="D47" s="27"/>
      <c r="E47" s="28"/>
      <c r="F47" s="28"/>
      <c r="G47" s="23"/>
      <c r="H47" s="29"/>
      <c r="I47" s="76"/>
      <c r="J47" s="26"/>
    </row>
    <row r="48" spans="2:10">
      <c r="B48" s="70"/>
      <c r="C48" s="28"/>
      <c r="D48" s="27"/>
      <c r="E48" s="28"/>
      <c r="F48" s="28"/>
      <c r="G48" s="23"/>
      <c r="H48" s="29"/>
      <c r="I48" s="76"/>
      <c r="J48" s="26"/>
    </row>
    <row r="49" spans="2:10">
      <c r="B49" s="70"/>
      <c r="C49" s="28"/>
      <c r="D49" s="27"/>
      <c r="E49" s="28"/>
      <c r="F49" s="28"/>
      <c r="G49" s="23"/>
      <c r="H49" s="29"/>
      <c r="I49" s="76"/>
      <c r="J49" s="26"/>
    </row>
    <row r="50" spans="2:10">
      <c r="B50" s="70"/>
      <c r="C50" s="28"/>
      <c r="D50" s="27"/>
      <c r="E50" s="28"/>
      <c r="F50" s="28"/>
      <c r="G50" s="6"/>
      <c r="H50" s="29"/>
      <c r="I50" s="76"/>
      <c r="J50" s="26"/>
    </row>
    <row r="51" spans="2:10">
      <c r="B51" s="70"/>
      <c r="C51" s="28"/>
      <c r="D51" s="27"/>
      <c r="E51" s="28"/>
      <c r="F51" s="26"/>
      <c r="G51" s="6"/>
      <c r="H51" s="29"/>
      <c r="I51" s="76"/>
      <c r="J51" s="26"/>
    </row>
    <row r="52" spans="2:10">
      <c r="B52" s="70"/>
      <c r="C52" s="28"/>
      <c r="D52" s="27"/>
      <c r="E52" s="26"/>
      <c r="F52" s="26"/>
      <c r="G52" s="6"/>
      <c r="H52" s="29"/>
      <c r="I52" s="76"/>
      <c r="J52" s="26"/>
    </row>
    <row r="53" ht="18.35" spans="2:10">
      <c r="B53" s="70"/>
      <c r="C53" s="28"/>
      <c r="D53" s="27"/>
      <c r="E53" s="26"/>
      <c r="F53" s="26"/>
      <c r="G53" s="6"/>
      <c r="H53" s="29"/>
      <c r="I53" s="31"/>
      <c r="J53" s="26"/>
    </row>
    <row r="54" ht="23.95" spans="2:10">
      <c r="B54" s="111"/>
      <c r="C54" s="28"/>
      <c r="D54" s="32" t="s">
        <v>1012</v>
      </c>
      <c r="E54" s="33"/>
      <c r="F54" s="33"/>
      <c r="G54" s="33"/>
      <c r="H54" s="34"/>
      <c r="I54" s="35">
        <f>I13+I23+I9+I27+I30+I31+I37+I46</f>
        <v>1508678.14</v>
      </c>
      <c r="J54" s="36"/>
    </row>
    <row r="55" spans="2:10">
      <c r="B55" s="111"/>
      <c r="C55" s="28"/>
      <c r="D55" s="27"/>
      <c r="E55" s="26"/>
      <c r="F55" s="26"/>
      <c r="G55" s="6"/>
      <c r="H55" s="29"/>
      <c r="I55" s="30"/>
      <c r="J55" s="26"/>
    </row>
    <row r="56" ht="18.35" spans="2:10">
      <c r="B56" s="111"/>
      <c r="C56" s="28"/>
      <c r="D56" s="27"/>
      <c r="E56" s="26"/>
      <c r="F56" s="26"/>
      <c r="G56" s="6"/>
      <c r="H56" s="29"/>
      <c r="I56" s="30"/>
      <c r="J56" s="26"/>
    </row>
    <row r="57" ht="18.35" spans="2:10">
      <c r="B57" s="111"/>
      <c r="C57" s="28"/>
      <c r="D57" s="37" t="s">
        <v>1013</v>
      </c>
      <c r="E57" s="38"/>
      <c r="F57" s="38"/>
      <c r="G57" s="38"/>
      <c r="H57" s="39"/>
      <c r="I57" s="40">
        <v>1479362.39</v>
      </c>
      <c r="J57" s="122">
        <f>($I$54-I57)/I57</f>
        <v>0.0198164764753822</v>
      </c>
    </row>
    <row r="58" ht="18.35" spans="2:10">
      <c r="B58" s="111"/>
      <c r="C58" s="28"/>
      <c r="D58" s="37" t="s">
        <v>1014</v>
      </c>
      <c r="E58" s="38"/>
      <c r="F58" s="38"/>
      <c r="G58" s="38"/>
      <c r="H58" s="39"/>
      <c r="I58" s="45">
        <v>1479362.39</v>
      </c>
      <c r="J58" s="122">
        <f>($I$54-I58)/I58</f>
        <v>0.0198164764753822</v>
      </c>
    </row>
    <row r="59" ht="18.35" spans="2:10">
      <c r="B59" s="111"/>
      <c r="C59" s="28"/>
      <c r="D59" s="123" t="s">
        <v>1015</v>
      </c>
      <c r="E59" s="124"/>
      <c r="F59" s="124"/>
      <c r="G59" s="125"/>
      <c r="H59" s="126"/>
      <c r="I59" s="46">
        <v>1447961.39</v>
      </c>
      <c r="J59" s="127">
        <f>($I$54-I59)/I59</f>
        <v>0.0419325752877984</v>
      </c>
    </row>
    <row r="63" spans="2:10">
      <c r="B63" s="128"/>
      <c r="C63" s="129" t="s">
        <v>510</v>
      </c>
      <c r="D63" s="130"/>
      <c r="E63" s="131"/>
      <c r="F63" s="132"/>
    </row>
    <row r="64" spans="2:10">
      <c r="B64" s="26"/>
      <c r="C64" s="27"/>
      <c r="D64" s="26"/>
      <c r="E64" s="26"/>
      <c r="F64" s="6"/>
    </row>
    <row r="65" spans="3:6">
      <c r="D65" s="48" t="s">
        <v>1012</v>
      </c>
      <c r="E65" s="48"/>
      <c r="F65" s="48"/>
    </row>
    <row r="66" spans="3:6">
      <c r="C66" s="49">
        <v>45827</v>
      </c>
      <c r="D66" s="54">
        <v>1493552.73</v>
      </c>
    </row>
    <row r="67" spans="3:6">
      <c r="C67" s="49">
        <v>45842</v>
      </c>
      <c r="D67" s="54">
        <v>1513462.73</v>
      </c>
    </row>
    <row r="68" spans="3:6">
      <c r="C68" s="49">
        <v>45848</v>
      </c>
      <c r="D68" s="54">
        <v>1407062.73</v>
      </c>
    </row>
    <row r="69" spans="3:6">
      <c r="C69" s="49">
        <v>45856</v>
      </c>
      <c r="D69" s="54">
        <v>1420262.73</v>
      </c>
    </row>
    <row r="70" spans="3:6">
      <c r="C70" s="49">
        <v>45863</v>
      </c>
      <c r="D70" s="54">
        <v>1401302.73</v>
      </c>
    </row>
    <row r="71" spans="3:6">
      <c r="C71" s="49">
        <v>45880</v>
      </c>
      <c r="D71" s="54">
        <v>1254392.73</v>
      </c>
    </row>
    <row r="72" spans="3:6">
      <c r="C72" s="49">
        <v>45891</v>
      </c>
      <c r="D72" s="54">
        <v>1304250.73</v>
      </c>
    </row>
    <row r="73" spans="3:6">
      <c r="C73" s="49">
        <v>45919</v>
      </c>
      <c r="D73" s="54">
        <v>1350149.73</v>
      </c>
    </row>
    <row r="74" spans="3:6">
      <c r="C74" s="133">
        <v>45925</v>
      </c>
      <c r="D74" s="134">
        <v>1365149.73</v>
      </c>
    </row>
    <row r="75" spans="3:6">
      <c r="C75" s="49">
        <v>45933</v>
      </c>
      <c r="D75" s="54">
        <v>1340051.73</v>
      </c>
    </row>
    <row r="76" spans="3:6">
      <c r="C76" s="49">
        <v>45940</v>
      </c>
      <c r="D76" s="54">
        <v>1280051.73</v>
      </c>
    </row>
    <row r="77" spans="3:6">
      <c r="C77" s="49">
        <v>45947</v>
      </c>
      <c r="D77" s="54">
        <v>1330051.73</v>
      </c>
    </row>
    <row r="78" spans="3:6">
      <c r="C78" s="49">
        <v>45952</v>
      </c>
      <c r="D78" s="135">
        <v>1280051.73</v>
      </c>
    </row>
    <row r="79" spans="3:6">
      <c r="C79" s="136">
        <v>45961</v>
      </c>
      <c r="D79" s="54">
        <v>1416616.73</v>
      </c>
    </row>
    <row r="80" spans="3:6">
      <c r="C80" s="49">
        <v>45968</v>
      </c>
      <c r="D80" s="54">
        <v>1350116.73</v>
      </c>
    </row>
    <row r="81" spans="3:4">
      <c r="C81" s="49">
        <v>45975</v>
      </c>
      <c r="D81" s="54">
        <v>1389716.73</v>
      </c>
    </row>
    <row r="82" spans="3:4">
      <c r="C82" s="49">
        <v>45982</v>
      </c>
      <c r="D82" s="54">
        <v>1394616.73</v>
      </c>
    </row>
    <row r="83" spans="3:4">
      <c r="C83" s="49">
        <v>45989</v>
      </c>
      <c r="D83" s="54">
        <v>1459716.79</v>
      </c>
    </row>
    <row r="84" spans="3:4">
      <c r="C84" s="49">
        <v>45996</v>
      </c>
      <c r="D84" s="54">
        <v>1624916.73</v>
      </c>
    </row>
    <row r="85" spans="3:4">
      <c r="C85" s="49">
        <v>46003</v>
      </c>
      <c r="D85" s="54">
        <v>1625616.73</v>
      </c>
    </row>
    <row r="86" spans="3:4">
      <c r="C86" s="49">
        <v>46010</v>
      </c>
      <c r="D86" s="54">
        <v>1635616.73</v>
      </c>
    </row>
    <row r="87" spans="3:4">
      <c r="C87" s="49">
        <v>46017</v>
      </c>
      <c r="D87" s="54">
        <v>1950616.73</v>
      </c>
    </row>
    <row r="88" spans="3:4">
      <c r="C88" s="49">
        <v>46030</v>
      </c>
      <c r="D88" s="54">
        <v>2172846.73</v>
      </c>
    </row>
    <row r="89" spans="3:4">
      <c r="C89" s="49">
        <v>46042</v>
      </c>
      <c r="D89" s="54">
        <v>1799623.39</v>
      </c>
    </row>
    <row r="90" spans="3:4">
      <c r="C90" s="49">
        <v>46051</v>
      </c>
      <c r="D90" s="54">
        <v>1941566.73</v>
      </c>
    </row>
    <row r="91" spans="3:4">
      <c r="C91" s="49">
        <v>46066</v>
      </c>
      <c r="D91" s="54">
        <v>1903230.73</v>
      </c>
    </row>
    <row r="92" spans="3:4">
      <c r="C92" s="49">
        <v>46080</v>
      </c>
      <c r="D92" s="137">
        <v>1781987.39</v>
      </c>
    </row>
    <row r="93" spans="3:4">
      <c r="C93" s="49">
        <v>46087</v>
      </c>
      <c r="D93" s="54">
        <v>1705323.39</v>
      </c>
    </row>
    <row r="94" spans="3:4">
      <c r="C94" s="49">
        <v>46094</v>
      </c>
      <c r="D94" s="54">
        <v>1827287.39</v>
      </c>
    </row>
    <row r="95" spans="3:4">
      <c r="C95" s="49">
        <v>46114</v>
      </c>
      <c r="D95" s="54">
        <v>1736034.38</v>
      </c>
    </row>
    <row r="96" spans="3:4">
      <c r="C96" s="49">
        <v>46125</v>
      </c>
      <c r="D96" s="54">
        <v>1779534.38</v>
      </c>
    </row>
    <row r="97" spans="3:4">
      <c r="C97" s="49">
        <v>46136</v>
      </c>
      <c r="D97" s="54">
        <v>1285797.39</v>
      </c>
    </row>
    <row r="98" spans="3:4">
      <c r="C98" s="49">
        <v>46150</v>
      </c>
      <c r="D98" s="54">
        <v>1295797.39</v>
      </c>
    </row>
    <row r="99" spans="3:4">
      <c r="C99" s="49">
        <v>46157</v>
      </c>
      <c r="D99" s="54">
        <v>1265797.39</v>
      </c>
    </row>
    <row r="100" spans="3:4">
      <c r="C100" s="49">
        <v>46177</v>
      </c>
      <c r="D100" s="54">
        <v>1384961.39</v>
      </c>
    </row>
    <row r="101" spans="3:4">
      <c r="C101" s="49">
        <v>46185</v>
      </c>
      <c r="D101" s="54">
        <v>1384961.39</v>
      </c>
    </row>
    <row r="102" spans="3:4">
      <c r="C102" s="49">
        <v>46192</v>
      </c>
      <c r="D102" s="54">
        <v>1349961.39</v>
      </c>
    </row>
    <row r="103" spans="3:4">
      <c r="C103" s="49">
        <v>46199</v>
      </c>
      <c r="D103" s="54">
        <v>1410961.39</v>
      </c>
    </row>
    <row r="104" spans="3:4">
      <c r="C104" s="49">
        <v>46206</v>
      </c>
      <c r="D104" s="54">
        <v>1410961.39</v>
      </c>
    </row>
    <row r="105" spans="3:4">
      <c r="C105" s="49">
        <v>46213</v>
      </c>
      <c r="D105" s="54">
        <v>1447961.39</v>
      </c>
    </row>
    <row r="106" spans="3:4">
      <c r="C106" s="49">
        <v>46220</v>
      </c>
      <c r="D106" s="54">
        <v>1479362.39</v>
      </c>
    </row>
    <row r="107" spans="3:4">
      <c r="C107" s="49">
        <v>46227</v>
      </c>
      <c r="D107" s="54">
        <v>1479362.39</v>
      </c>
    </row>
    <row r="108" spans="3:4">
      <c r="C108" s="49">
        <v>46234</v>
      </c>
      <c r="D108" s="54">
        <v>1508678.14</v>
      </c>
    </row>
    <row r="109" spans="3:4">
      <c r="C109" s="138"/>
    </row>
    <row r="110" spans="3:4">
      <c r="C110" s="138"/>
    </row>
    <row r="111" spans="3:4">
      <c r="C111" s="138"/>
    </row>
    <row r="112" spans="3:4">
      <c r="C112" s="138"/>
    </row>
    <row r="113" spans="3:3">
      <c r="C113" s="138"/>
    </row>
    <row r="114" spans="3:3">
      <c r="C114" s="138"/>
    </row>
    <row r="115" spans="3:3">
      <c r="C115" s="138"/>
    </row>
    <row r="116" spans="3:3">
      <c r="C116" s="138"/>
    </row>
    <row r="117" spans="3:3">
      <c r="C117" s="138"/>
    </row>
    <row r="118" spans="3:3">
      <c r="C118" s="138"/>
    </row>
    <row r="119" spans="3:3">
      <c r="C119" s="138"/>
    </row>
    <row r="120" spans="3:3">
      <c r="C120" s="138"/>
    </row>
    <row r="121" spans="3:3">
      <c r="C121" s="138"/>
    </row>
    <row r="122" spans="3:3">
      <c r="C122" s="138"/>
    </row>
    <row r="123" spans="3:3">
      <c r="C123" s="138"/>
    </row>
    <row r="124" spans="3:3">
      <c r="C124" s="138"/>
    </row>
  </sheetData>
  <mergeCells count="6">
    <mergeCell ref="D3:H3"/>
    <mergeCell ref="D54:H54"/>
    <mergeCell ref="I54:J54"/>
    <mergeCell ref="D57:H57"/>
    <mergeCell ref="D58:H58"/>
    <mergeCell ref="D65:F65"/>
  </mergeCells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56"/>
  <sheetViews>
    <sheetView topLeftCell="A36" workbookViewId="0">
      <selection activeCell="D49" sqref="D49"/>
    </sheetView>
  </sheetViews>
  <sheetFormatPr defaultColWidth="11" defaultRowHeight="17.6"/>
  <cols>
    <col min="1" max="1" width="1.375" customWidth="1"/>
    <col min="2" max="2" width="28.5" customWidth="1"/>
    <col min="10" max="10" width="29.25" customWidth="1"/>
  </cols>
  <sheetData>
    <row r="2" ht="18.35"/>
    <row r="3" ht="18.35" spans="1:19">
      <c r="D3" s="1" t="s">
        <v>1016</v>
      </c>
      <c r="E3" s="2"/>
      <c r="F3" s="2"/>
      <c r="G3" s="2"/>
      <c r="H3" s="3"/>
      <c r="I3" s="4"/>
    </row>
    <row r="4" spans="1:19">
      <c r="D4" s="5"/>
      <c r="G4" s="6"/>
      <c r="H4" s="5"/>
      <c r="I4" s="4"/>
    </row>
    <row r="5" ht="18.35" spans="1:19">
      <c r="D5" s="5"/>
      <c r="G5" s="6"/>
      <c r="H5" s="5"/>
      <c r="I5" s="4"/>
    </row>
    <row r="6" spans="1:19">
      <c r="B6" s="7" t="s">
        <v>85</v>
      </c>
      <c r="C6" s="8" t="s">
        <v>86</v>
      </c>
      <c r="D6" s="9" t="s">
        <v>87</v>
      </c>
      <c r="E6" s="8" t="s">
        <v>88</v>
      </c>
      <c r="F6" s="8" t="s">
        <v>89</v>
      </c>
      <c r="G6" s="10" t="s">
        <v>90</v>
      </c>
      <c r="H6" s="9" t="s">
        <v>91</v>
      </c>
      <c r="I6" s="11" t="s">
        <v>92</v>
      </c>
      <c r="J6" s="12" t="s">
        <v>93</v>
      </c>
    </row>
    <row r="7" spans="1:19">
      <c r="B7" s="13" t="s">
        <v>1017</v>
      </c>
      <c r="C7" s="14" t="s">
        <v>1018</v>
      </c>
      <c r="D7" s="15">
        <v>46137</v>
      </c>
      <c r="E7" s="14" t="s">
        <v>114</v>
      </c>
      <c r="F7" s="14" t="s">
        <v>648</v>
      </c>
      <c r="G7" s="16" t="s">
        <v>1019</v>
      </c>
      <c r="H7" s="15">
        <v>46201</v>
      </c>
      <c r="I7" s="17">
        <v>12474</v>
      </c>
      <c r="J7" s="18" t="s">
        <v>1020</v>
      </c>
    </row>
    <row r="8" spans="1:19">
      <c r="A8" s="19"/>
      <c r="B8" s="20"/>
      <c r="C8" s="21"/>
      <c r="D8" s="22"/>
      <c r="E8" s="21"/>
      <c r="F8" s="21"/>
      <c r="G8" s="23"/>
      <c r="H8" s="22"/>
      <c r="I8" s="24"/>
      <c r="J8" s="25"/>
      <c r="L8" s="26"/>
      <c r="M8" s="27"/>
      <c r="N8" s="28"/>
      <c r="O8" s="28"/>
      <c r="P8" s="23"/>
      <c r="Q8" s="29"/>
      <c r="R8" s="30"/>
      <c r="S8" s="26"/>
    </row>
    <row r="9" spans="1:19">
      <c r="A9" s="19"/>
      <c r="B9" s="20"/>
      <c r="C9" s="21"/>
      <c r="D9" s="22"/>
      <c r="E9" s="21"/>
      <c r="F9" s="21"/>
      <c r="G9" s="23"/>
      <c r="H9" s="22"/>
      <c r="I9" s="24"/>
      <c r="J9" s="25"/>
      <c r="L9" s="26"/>
      <c r="M9" s="27"/>
      <c r="N9" s="28"/>
      <c r="O9" s="28"/>
      <c r="P9" s="23"/>
      <c r="Q9" s="29"/>
      <c r="R9" s="30"/>
      <c r="S9" s="26"/>
    </row>
    <row r="10" spans="1:19">
      <c r="A10" s="19"/>
      <c r="B10" s="20"/>
      <c r="C10" s="21"/>
      <c r="D10" s="22"/>
      <c r="E10" s="21"/>
      <c r="F10" s="21"/>
      <c r="G10" s="23"/>
      <c r="H10" s="22"/>
      <c r="I10" s="24"/>
      <c r="J10" s="25"/>
      <c r="L10" s="26"/>
      <c r="M10" s="27"/>
      <c r="N10" s="28"/>
      <c r="O10" s="28"/>
      <c r="P10" s="23"/>
      <c r="Q10" s="29"/>
      <c r="R10" s="30"/>
      <c r="S10" s="26"/>
    </row>
    <row r="11" ht="18.35" spans="1:19">
      <c r="C11" s="26"/>
      <c r="D11" s="27"/>
      <c r="E11" s="26"/>
      <c r="F11" s="26"/>
      <c r="G11" s="6"/>
      <c r="H11" s="29"/>
      <c r="I11" s="31"/>
      <c r="J11" s="26"/>
    </row>
    <row r="12" ht="23.95" spans="1:19">
      <c r="C12" s="26"/>
      <c r="D12" s="32" t="s">
        <v>1021</v>
      </c>
      <c r="E12" s="33"/>
      <c r="F12" s="33"/>
      <c r="G12" s="33"/>
      <c r="H12" s="34"/>
      <c r="I12" s="35">
        <f>+I7</f>
        <v>12474</v>
      </c>
      <c r="J12" s="36"/>
    </row>
    <row r="13" spans="1:19">
      <c r="C13" s="26"/>
      <c r="D13" s="27"/>
      <c r="E13" s="26"/>
      <c r="F13" s="26"/>
      <c r="G13" s="6"/>
      <c r="H13" s="29"/>
      <c r="I13" s="30"/>
      <c r="J13" s="26"/>
    </row>
    <row r="14" ht="18.35" spans="1:19">
      <c r="C14" s="26"/>
      <c r="D14" s="27"/>
      <c r="E14" s="26"/>
      <c r="F14" s="26"/>
      <c r="G14" s="6"/>
      <c r="H14" s="29"/>
      <c r="I14" s="30"/>
      <c r="J14" s="26"/>
    </row>
    <row r="15" ht="18.35" spans="1:19">
      <c r="C15" s="26"/>
      <c r="D15" s="37" t="s">
        <v>1022</v>
      </c>
      <c r="E15" s="38"/>
      <c r="F15" s="38"/>
      <c r="G15" s="38"/>
      <c r="H15" s="39"/>
      <c r="I15" s="40">
        <v>12474</v>
      </c>
      <c r="J15" s="41">
        <f>($I$12-I15)/I15</f>
        <v>0</v>
      </c>
    </row>
    <row r="16" ht="18.35" spans="1:19">
      <c r="C16" s="26"/>
      <c r="D16" s="42" t="s">
        <v>1023</v>
      </c>
      <c r="E16" s="43"/>
      <c r="F16" s="43"/>
      <c r="G16" s="43"/>
      <c r="H16" s="44"/>
      <c r="I16" s="45">
        <v>12474</v>
      </c>
      <c r="J16" s="41">
        <f>($I$12-I16)/I16</f>
        <v>0</v>
      </c>
    </row>
    <row r="17" ht="18.35" spans="3:10">
      <c r="C17" s="26"/>
      <c r="D17" s="42" t="s">
        <v>1024</v>
      </c>
      <c r="E17" s="43"/>
      <c r="F17" s="43"/>
      <c r="G17" s="43"/>
      <c r="H17" s="44"/>
      <c r="I17" s="46">
        <v>35541.03</v>
      </c>
      <c r="J17" s="47">
        <f>($I$12-I17)/I17</f>
        <v>-0.64902536589401</v>
      </c>
    </row>
    <row r="21" spans="3:10">
      <c r="D21" s="48" t="s">
        <v>1025</v>
      </c>
      <c r="E21" s="48"/>
      <c r="F21" s="48"/>
    </row>
    <row r="22" spans="3:10">
      <c r="D22" s="48"/>
      <c r="E22" s="48"/>
      <c r="F22" s="48"/>
    </row>
    <row r="23" spans="3:10">
      <c r="C23" s="49">
        <v>45827</v>
      </c>
      <c r="D23" s="50">
        <v>0</v>
      </c>
    </row>
    <row r="24" spans="3:10">
      <c r="C24" s="51">
        <v>45842</v>
      </c>
      <c r="D24" s="52">
        <v>0</v>
      </c>
    </row>
    <row r="25" spans="3:10">
      <c r="C25" s="49">
        <v>45848</v>
      </c>
      <c r="D25" s="52">
        <v>25000</v>
      </c>
    </row>
    <row r="26" spans="3:10">
      <c r="C26" s="49">
        <v>45856</v>
      </c>
      <c r="D26" s="52">
        <v>25000</v>
      </c>
    </row>
    <row r="27" spans="3:10">
      <c r="C27" s="49">
        <v>45863</v>
      </c>
      <c r="D27" s="52">
        <v>25000</v>
      </c>
    </row>
    <row r="28" spans="3:10">
      <c r="C28" s="49">
        <v>45880</v>
      </c>
      <c r="D28" s="52">
        <v>22700</v>
      </c>
    </row>
    <row r="29" spans="3:10">
      <c r="C29" s="49">
        <v>45891</v>
      </c>
      <c r="D29" s="52">
        <v>22700</v>
      </c>
    </row>
    <row r="30" spans="3:10">
      <c r="C30" s="53">
        <v>45919</v>
      </c>
      <c r="D30" s="52">
        <v>0</v>
      </c>
    </row>
    <row r="31" spans="3:10">
      <c r="C31" s="53">
        <v>45925</v>
      </c>
      <c r="D31" s="52">
        <v>0</v>
      </c>
    </row>
    <row r="32" spans="3:10">
      <c r="C32" s="53">
        <v>45968</v>
      </c>
      <c r="D32" s="52">
        <v>0</v>
      </c>
    </row>
    <row r="33" spans="3:4">
      <c r="C33" s="53">
        <v>45975</v>
      </c>
      <c r="D33" s="52">
        <v>87000</v>
      </c>
    </row>
    <row r="34" spans="3:4">
      <c r="C34" s="53">
        <v>45982</v>
      </c>
      <c r="D34" s="52">
        <v>0</v>
      </c>
    </row>
    <row r="35" spans="3:4">
      <c r="C35" s="53">
        <v>45989</v>
      </c>
      <c r="D35" s="52">
        <v>29894.72</v>
      </c>
    </row>
    <row r="36" spans="3:4">
      <c r="C36" s="53">
        <v>46094</v>
      </c>
      <c r="D36" s="54">
        <v>24000</v>
      </c>
    </row>
    <row r="37" spans="3:4">
      <c r="C37" s="53">
        <v>46114</v>
      </c>
      <c r="D37" s="54">
        <v>25000</v>
      </c>
    </row>
    <row r="38" spans="3:4">
      <c r="C38" s="53">
        <v>46125</v>
      </c>
      <c r="D38" s="54">
        <v>23750</v>
      </c>
    </row>
    <row r="39" spans="3:4">
      <c r="C39" s="53">
        <v>46136</v>
      </c>
      <c r="D39" s="54">
        <v>47500</v>
      </c>
    </row>
    <row r="40" spans="3:4">
      <c r="C40" s="55">
        <v>46150</v>
      </c>
      <c r="D40" s="54">
        <v>23750</v>
      </c>
    </row>
    <row r="41" spans="3:4">
      <c r="C41" s="53">
        <v>46157</v>
      </c>
      <c r="D41" s="54">
        <v>23750</v>
      </c>
    </row>
    <row r="42" spans="3:4">
      <c r="C42" s="53">
        <v>46177</v>
      </c>
      <c r="D42" s="54">
        <v>0</v>
      </c>
    </row>
    <row r="43" spans="3:4">
      <c r="C43" s="55">
        <v>46185</v>
      </c>
      <c r="D43" s="54">
        <v>0</v>
      </c>
    </row>
    <row r="44" spans="3:4">
      <c r="C44" s="53">
        <v>46192</v>
      </c>
      <c r="D44" s="54">
        <v>54000</v>
      </c>
    </row>
    <row r="45" spans="3:4">
      <c r="C45" s="53">
        <v>46206</v>
      </c>
      <c r="D45" s="54">
        <v>12474</v>
      </c>
    </row>
    <row r="46" spans="3:4">
      <c r="C46" s="53">
        <v>46213</v>
      </c>
      <c r="D46" s="56">
        <v>34541.03</v>
      </c>
    </row>
    <row r="47" spans="3:4">
      <c r="C47" s="53">
        <v>46220</v>
      </c>
      <c r="D47" s="52">
        <v>12474</v>
      </c>
    </row>
    <row r="48" spans="3:4">
      <c r="C48" s="53">
        <v>46227</v>
      </c>
      <c r="D48" s="54">
        <v>12474</v>
      </c>
    </row>
    <row r="49" spans="3:4">
      <c r="C49" s="53">
        <v>46234</v>
      </c>
      <c r="D49" s="57">
        <v>12474</v>
      </c>
    </row>
    <row r="50" spans="3:4">
      <c r="C50" s="5"/>
    </row>
    <row r="51" spans="3:4">
      <c r="C51" s="5"/>
    </row>
    <row r="52" spans="3:4">
      <c r="C52" s="5"/>
    </row>
    <row r="53" spans="3:4">
      <c r="C53" s="5"/>
    </row>
    <row r="54" spans="3:4">
      <c r="C54" s="5"/>
    </row>
    <row r="55" spans="3:4">
      <c r="C55" s="5"/>
    </row>
    <row r="56" spans="3:4">
      <c r="C56" s="5"/>
    </row>
  </sheetData>
  <mergeCells count="7">
    <mergeCell ref="D3:H3"/>
    <mergeCell ref="D12:H12"/>
    <mergeCell ref="I12:J12"/>
    <mergeCell ref="D15:H15"/>
    <mergeCell ref="D16:H16"/>
    <mergeCell ref="D17:H17"/>
    <mergeCell ref="D21:F2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Gadimat</Company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IMPAYES 2020-2021-2022 (2)</vt:lpstr>
      <vt:lpstr>IMPAYES 2020-2021-2022</vt:lpstr>
      <vt:lpstr>Feuil4</vt:lpstr>
      <vt:lpstr>Feuil3</vt:lpstr>
      <vt:lpstr>Feuil2</vt:lpstr>
      <vt:lpstr>Total Impayés</vt:lpstr>
      <vt:lpstr>NABIL</vt:lpstr>
      <vt:lpstr>OMAR</vt:lpstr>
      <vt:lpstr>DIRECTION</vt:lpstr>
      <vt:lpstr>FAYCAL</vt:lpstr>
      <vt:lpstr>NAOUFAL</vt:lpstr>
      <vt:lpstr>FAHD</vt:lpstr>
      <vt:lpstr>GII</vt:lpstr>
      <vt:lpstr>LAHCEN</vt:lpstr>
      <vt:lpstr>RACHID</vt:lpstr>
      <vt:lpstr>OUSSAMA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</dc:creator>
  <cp:lastModifiedBy>FranckGuillet</cp:lastModifiedBy>
  <dcterms:created xsi:type="dcterms:W3CDTF">2019-09-30T10:26:00Z</dcterms:created>
  <cp:lastPrinted>2026-06-04T09:33:00Z</cp:lastPrinted>
  <dcterms:modified xsi:type="dcterms:W3CDTF">2026-08-01T10:58:36Z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5A9A423542E9C97E4CC36D6A3EA9E129_43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